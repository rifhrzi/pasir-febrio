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57c79714992399/Dokumen/Febrio AN/CIOMAS/"/>
    </mc:Choice>
  </mc:AlternateContent>
  <xr:revisionPtr revIDLastSave="19" documentId="8_{862E2B0F-CBB3-4E64-99A1-773AD2DBB76E}" xr6:coauthVersionLast="47" xr6:coauthVersionMax="47" xr10:uidLastSave="{134B2965-CAAB-4D83-AF13-12FF8996B0DE}"/>
  <bookViews>
    <workbookView xWindow="-110" yWindow="-110" windowWidth="19420" windowHeight="10300" firstSheet="2" activeTab="2" xr2:uid="{63B72BF8-CB79-4115-9EEA-C9D147A8640C}"/>
  </bookViews>
  <sheets>
    <sheet name="PENDAPATAN" sheetId="1" r:id="rId1"/>
    <sheet name="COLTDIESEL" sheetId="16" r:id="rId2"/>
    <sheet name="PENGELUARAN" sheetId="3" r:id="rId3"/>
    <sheet name="UH" sheetId="7" r:id="rId4"/>
    <sheet name="MAMIN" sheetId="8" r:id="rId5"/>
    <sheet name="BELANJA" sheetId="9" r:id="rId6"/>
    <sheet name="PINJAMAN" sheetId="11" r:id="rId7"/>
    <sheet name="BBM" sheetId="13" r:id="rId8"/>
    <sheet name="DEPOSIT" sheetId="14" r:id="rId9"/>
    <sheet name="Lembar12" sheetId="15" r:id="rId10"/>
  </sheets>
  <calcPr calcId="191029"/>
  <pivotCaches>
    <pivotCache cacheId="25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7" l="1"/>
  <c r="B3" i="3"/>
  <c r="B17" i="7"/>
  <c r="B16" i="7"/>
  <c r="D308" i="3"/>
  <c r="D307" i="3"/>
  <c r="D306" i="3"/>
  <c r="D305" i="3"/>
  <c r="D304" i="3"/>
  <c r="D303" i="3"/>
  <c r="D300" i="3"/>
  <c r="D301" i="3"/>
  <c r="D302" i="3"/>
  <c r="D299" i="3"/>
  <c r="G32" i="16"/>
  <c r="C32" i="16"/>
  <c r="G31" i="16"/>
  <c r="C31" i="16"/>
  <c r="G30" i="16"/>
  <c r="C30" i="16"/>
  <c r="G29" i="16"/>
  <c r="C29" i="16"/>
  <c r="G28" i="16"/>
  <c r="C28" i="16"/>
  <c r="G27" i="16"/>
  <c r="C27" i="16"/>
  <c r="G26" i="16"/>
  <c r="C26" i="16"/>
  <c r="G25" i="16"/>
  <c r="C25" i="16"/>
  <c r="G24" i="16"/>
  <c r="C24" i="16"/>
  <c r="G23" i="16"/>
  <c r="C23" i="16"/>
  <c r="G22" i="16"/>
  <c r="C22" i="16"/>
  <c r="G21" i="16"/>
  <c r="C21" i="16"/>
  <c r="G20" i="16"/>
  <c r="C20" i="16"/>
  <c r="G19" i="16"/>
  <c r="C19" i="16"/>
  <c r="G18" i="16"/>
  <c r="C18" i="16"/>
  <c r="G17" i="16"/>
  <c r="C17" i="16"/>
  <c r="G16" i="16"/>
  <c r="C16" i="16"/>
  <c r="G15" i="16"/>
  <c r="C15" i="16"/>
  <c r="G14" i="16"/>
  <c r="C14" i="16"/>
  <c r="G13" i="16"/>
  <c r="C13" i="16"/>
  <c r="G12" i="16"/>
  <c r="C12" i="16"/>
  <c r="D6" i="16"/>
  <c r="C6" i="16"/>
  <c r="A6" i="16"/>
  <c r="D197" i="3"/>
  <c r="D298" i="3"/>
  <c r="D297" i="3"/>
  <c r="D296" i="3"/>
  <c r="D295" i="3"/>
  <c r="D294" i="3"/>
  <c r="D293" i="3"/>
  <c r="D292" i="3"/>
  <c r="D291" i="3"/>
  <c r="D290" i="3"/>
  <c r="D289" i="3"/>
  <c r="D54" i="1"/>
  <c r="H54" i="1"/>
  <c r="L4" i="1"/>
  <c r="L30" i="1"/>
  <c r="P30" i="1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53" i="1"/>
  <c r="H53" i="1"/>
  <c r="D52" i="1"/>
  <c r="H52" i="1"/>
  <c r="D50" i="1"/>
  <c r="D51" i="1"/>
  <c r="H50" i="1"/>
  <c r="H51" i="1"/>
  <c r="D272" i="3"/>
  <c r="D271" i="3"/>
  <c r="D270" i="3"/>
  <c r="D269" i="3"/>
  <c r="D268" i="3"/>
  <c r="D267" i="3"/>
  <c r="D266" i="3"/>
  <c r="D265" i="3"/>
  <c r="D264" i="3"/>
  <c r="D263" i="3"/>
  <c r="D262" i="3"/>
  <c r="D261" i="3"/>
  <c r="D49" i="1"/>
  <c r="H49" i="1"/>
  <c r="D48" i="1"/>
  <c r="H48" i="1"/>
  <c r="D46" i="1"/>
  <c r="D47" i="1"/>
  <c r="H46" i="1"/>
  <c r="H47" i="1"/>
  <c r="D260" i="3" l="1"/>
  <c r="D259" i="3"/>
  <c r="D258" i="3"/>
  <c r="D257" i="3"/>
  <c r="D256" i="3"/>
  <c r="D255" i="3"/>
  <c r="D254" i="3"/>
  <c r="D253" i="3"/>
  <c r="D45" i="1"/>
  <c r="H45" i="1"/>
  <c r="D44" i="1"/>
  <c r="H44" i="1"/>
  <c r="D252" i="3"/>
  <c r="D248" i="3"/>
  <c r="D251" i="3"/>
  <c r="D250" i="3"/>
  <c r="D249" i="3"/>
  <c r="D247" i="3"/>
  <c r="D246" i="3"/>
  <c r="D245" i="3"/>
  <c r="D43" i="1"/>
  <c r="H43" i="1"/>
  <c r="D42" i="1"/>
  <c r="H42" i="1"/>
  <c r="D244" i="3"/>
  <c r="D243" i="3"/>
  <c r="D242" i="3"/>
  <c r="D241" i="3"/>
  <c r="D240" i="3"/>
  <c r="D239" i="3"/>
  <c r="D40" i="1"/>
  <c r="D41" i="1"/>
  <c r="H40" i="1"/>
  <c r="H41" i="1"/>
  <c r="D39" i="1"/>
  <c r="H39" i="1"/>
  <c r="D238" i="3"/>
  <c r="D237" i="3"/>
  <c r="D236" i="3"/>
  <c r="D235" i="3"/>
  <c r="D234" i="3"/>
  <c r="D233" i="3"/>
  <c r="D232" i="3"/>
  <c r="D231" i="3"/>
  <c r="D230" i="3"/>
  <c r="D38" i="1"/>
  <c r="H38" i="1"/>
  <c r="D37" i="1"/>
  <c r="H37" i="1"/>
  <c r="D229" i="3" l="1"/>
  <c r="D228" i="3"/>
  <c r="D227" i="3"/>
  <c r="D226" i="3"/>
  <c r="D225" i="3"/>
  <c r="D224" i="3"/>
  <c r="D223" i="3"/>
  <c r="D36" i="1"/>
  <c r="H36" i="1"/>
  <c r="D222" i="3"/>
  <c r="D221" i="3"/>
  <c r="D220" i="3"/>
  <c r="D219" i="3"/>
  <c r="D218" i="3"/>
  <c r="D217" i="3"/>
  <c r="D216" i="3"/>
  <c r="D34" i="1"/>
  <c r="D35" i="1"/>
  <c r="H34" i="1"/>
  <c r="H35" i="1"/>
  <c r="D215" i="3" l="1"/>
  <c r="D214" i="3"/>
  <c r="D213" i="3"/>
  <c r="D212" i="3"/>
  <c r="D211" i="3"/>
  <c r="D210" i="3"/>
  <c r="D209" i="3"/>
  <c r="D208" i="3"/>
  <c r="D33" i="1"/>
  <c r="H33" i="1"/>
  <c r="D189" i="3"/>
  <c r="D207" i="3"/>
  <c r="F204" i="3"/>
  <c r="D206" i="3"/>
  <c r="D205" i="3"/>
  <c r="D204" i="3"/>
  <c r="D203" i="3"/>
  <c r="D202" i="3"/>
  <c r="D201" i="3"/>
  <c r="D200" i="3"/>
  <c r="D199" i="3"/>
  <c r="D198" i="3"/>
  <c r="D196" i="3"/>
  <c r="D195" i="3"/>
  <c r="D194" i="3"/>
  <c r="D193" i="3"/>
  <c r="D192" i="3"/>
  <c r="D191" i="3"/>
  <c r="D190" i="3"/>
  <c r="D32" i="1"/>
  <c r="H32" i="1"/>
  <c r="D30" i="1"/>
  <c r="D31" i="1"/>
  <c r="H30" i="1"/>
  <c r="H31" i="1"/>
  <c r="M4" i="1"/>
  <c r="L29" i="1"/>
  <c r="P29" i="1"/>
  <c r="D185" i="3"/>
  <c r="D188" i="3"/>
  <c r="D187" i="3"/>
  <c r="D186" i="3"/>
  <c r="D184" i="3"/>
  <c r="D182" i="3"/>
  <c r="D183" i="3"/>
  <c r="D181" i="3"/>
  <c r="D180" i="3"/>
  <c r="D29" i="1"/>
  <c r="H29" i="1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L12" i="1"/>
  <c r="P12" i="1"/>
  <c r="D138" i="3"/>
  <c r="D137" i="3"/>
  <c r="D136" i="3"/>
  <c r="D135" i="3"/>
  <c r="D134" i="3"/>
  <c r="D133" i="3"/>
  <c r="D132" i="3"/>
  <c r="D131" i="3"/>
  <c r="D130" i="3"/>
  <c r="L11" i="1"/>
  <c r="P11" i="1"/>
  <c r="P10" i="1"/>
  <c r="L10" i="1"/>
  <c r="D24" i="1"/>
  <c r="D25" i="1"/>
  <c r="D26" i="1"/>
  <c r="D27" i="1"/>
  <c r="D28" i="1"/>
  <c r="H24" i="1"/>
  <c r="H25" i="1"/>
  <c r="H26" i="1"/>
  <c r="H27" i="1"/>
  <c r="H28" i="1"/>
  <c r="D21" i="1"/>
  <c r="D22" i="1"/>
  <c r="D23" i="1"/>
  <c r="H21" i="1"/>
  <c r="H22" i="1"/>
  <c r="H23" i="1"/>
  <c r="D129" i="3"/>
  <c r="D128" i="3"/>
  <c r="D127" i="3"/>
  <c r="D126" i="3"/>
  <c r="D125" i="3"/>
  <c r="D124" i="3"/>
  <c r="D123" i="3"/>
  <c r="D20" i="1"/>
  <c r="H20" i="1"/>
  <c r="D122" i="3"/>
  <c r="D85" i="3"/>
  <c r="J4" i="1" l="1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6" i="1"/>
  <c r="D17" i="1"/>
  <c r="D18" i="1"/>
  <c r="D19" i="1"/>
  <c r="H16" i="1"/>
  <c r="H17" i="1"/>
  <c r="H18" i="1"/>
  <c r="H19" i="1"/>
  <c r="D84" i="3"/>
  <c r="D15" i="1"/>
  <c r="H15" i="1"/>
  <c r="D70" i="3"/>
  <c r="D14" i="1"/>
  <c r="H14" i="1"/>
  <c r="D83" i="3" l="1"/>
  <c r="D56" i="3"/>
  <c r="D52" i="3"/>
  <c r="D55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1" i="3"/>
  <c r="D72" i="3"/>
  <c r="D73" i="3"/>
  <c r="D74" i="3"/>
  <c r="D75" i="3"/>
  <c r="D76" i="3"/>
  <c r="D77" i="3"/>
  <c r="D78" i="3"/>
  <c r="D79" i="3"/>
  <c r="D80" i="3"/>
  <c r="D81" i="3"/>
  <c r="D82" i="3"/>
  <c r="D13" i="1"/>
  <c r="H13" i="1"/>
  <c r="D12" i="1"/>
  <c r="H12" i="1"/>
  <c r="D11" i="1"/>
  <c r="H11" i="1"/>
  <c r="D10" i="3"/>
  <c r="D7" i="3"/>
  <c r="D8" i="3"/>
  <c r="D9" i="3"/>
  <c r="D29" i="3" l="1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3" i="3"/>
  <c r="D54" i="3"/>
  <c r="F26" i="3"/>
  <c r="D12" i="3"/>
  <c r="D11" i="3"/>
  <c r="D20" i="3"/>
  <c r="D19" i="3"/>
  <c r="D22" i="3"/>
  <c r="D23" i="3"/>
  <c r="D24" i="3"/>
  <c r="D25" i="3"/>
  <c r="D26" i="3"/>
  <c r="D27" i="3"/>
  <c r="D28" i="3"/>
  <c r="D15" i="3"/>
  <c r="D16" i="3"/>
  <c r="D17" i="3"/>
  <c r="D18" i="3"/>
  <c r="D21" i="3"/>
  <c r="D13" i="3"/>
  <c r="D14" i="3"/>
  <c r="B4" i="1"/>
  <c r="H10" i="1"/>
  <c r="D4" i="1" s="1"/>
  <c r="D10" i="1"/>
</calcChain>
</file>

<file path=xl/sharedStrings.xml><?xml version="1.0" encoding="utf-8"?>
<sst xmlns="http://schemas.openxmlformats.org/spreadsheetml/2006/main" count="831" uniqueCount="240">
  <si>
    <t>TANGGAL</t>
  </si>
  <si>
    <t xml:space="preserve">NO </t>
  </si>
  <si>
    <t>NO</t>
  </si>
  <si>
    <t xml:space="preserve">TANGGAL </t>
  </si>
  <si>
    <t>TOTAL BAYAR</t>
  </si>
  <si>
    <t>DESKRIPSI</t>
  </si>
  <si>
    <t>Uang Harian Operator</t>
  </si>
  <si>
    <t>Pembayaran Uang Harian Operator : Telong</t>
  </si>
  <si>
    <t>Pembayaran Uang Harian Kordinator : Fendi</t>
  </si>
  <si>
    <t>Pembayaran Uang Harian Kordinator : Ervan</t>
  </si>
  <si>
    <t>JUMLAH</t>
  </si>
  <si>
    <t>SUMMARY CIOMAS MINE</t>
  </si>
  <si>
    <t>PT. DZIKRI MULTI LABA</t>
  </si>
  <si>
    <t>LAPORAN PENERIMAAN  OKTOBER</t>
  </si>
  <si>
    <t xml:space="preserve">HARI </t>
  </si>
  <si>
    <t>NAMA BARANG</t>
  </si>
  <si>
    <t>HARGA</t>
  </si>
  <si>
    <t>Pasir Ayak</t>
  </si>
  <si>
    <t>EXPEND CIOMAS MINE</t>
  </si>
  <si>
    <t xml:space="preserve">KETERANGAN </t>
  </si>
  <si>
    <t>Uang Harian Kordinator</t>
  </si>
  <si>
    <t>PT . DZIKRI MULTI LABA</t>
  </si>
  <si>
    <t>Makan dan Minum Lapangan</t>
  </si>
  <si>
    <t>Pembayaran Uang Harian Kordinator : Gofar</t>
  </si>
  <si>
    <t>Pembayaran Uang Harian Makan Minum Lapangan</t>
  </si>
  <si>
    <t>Pembayaran Pembelian 2 Aki dan Kepala Aki Anugrah Jaya Teknik</t>
  </si>
  <si>
    <t>Pembayaran Uang Harian Operator : Menyon</t>
  </si>
  <si>
    <t>Pembayaran Uang Harian Operator : Fat</t>
  </si>
  <si>
    <t xml:space="preserve">Pembayaran Uang Makan dan Minum Lapangan </t>
  </si>
  <si>
    <t xml:space="preserve">Pembayaran Pembelian Jerigen, Selang </t>
  </si>
  <si>
    <t>Pembayaran BOP Kordinasi Masyarakat Ciomas : Asep, Ervan</t>
  </si>
  <si>
    <t>Pembayaran Pembelian Kambing Super dan Masak</t>
  </si>
  <si>
    <t>Pembelian Spare Part Alat AJT:Grace, Fsolar, Pompa Grace,F Sabuk</t>
  </si>
  <si>
    <t>Pembelian Solar 3 Ton : Yadi Hariyadi</t>
  </si>
  <si>
    <t>Pembayaran Peresmian Tambang Ciomas : Roko, Tokoh, Ustad</t>
  </si>
  <si>
    <t>Pembayaran Uang Jalan Ayak dan Kempu : Sandi</t>
  </si>
  <si>
    <t>Pembayaran Uang Jalan Container : Hurbi Herdiana</t>
  </si>
  <si>
    <t>Pembayaran Uang Pembelian Kuku Bucket dan Pin Kuku : Hurbikus Hendra</t>
  </si>
  <si>
    <t>Pembayaran Uang Jalan Excavator : Sandi</t>
  </si>
  <si>
    <t xml:space="preserve">Uang Harian Checker </t>
  </si>
  <si>
    <t xml:space="preserve">Pembayaran Uang Harian Operator : Arsad </t>
  </si>
  <si>
    <t>Pembayaran Uang Harian Checker : Gofar</t>
  </si>
  <si>
    <t>Pembayaran Makan Minum Lapangan</t>
  </si>
  <si>
    <t xml:space="preserve">Pembayaran Uang Harian Kenek : Ferdi </t>
  </si>
  <si>
    <t>Uang Harian Helper</t>
  </si>
  <si>
    <t>Pembayaran Uang Harian Operator</t>
  </si>
  <si>
    <t>Pembayaran Uang Harian Checker</t>
  </si>
  <si>
    <t>Pembayaran Uang Harian Helper</t>
  </si>
  <si>
    <t>Pembayaran Makan dan Minum Lapangan</t>
  </si>
  <si>
    <t>Uang Harian Checker</t>
  </si>
  <si>
    <t>Uang Harian Security</t>
  </si>
  <si>
    <t xml:space="preserve">Pembayaran Uang Harian Operator </t>
  </si>
  <si>
    <t>Pembayaran Uang Harian Security</t>
  </si>
  <si>
    <t xml:space="preserve">Pembayaran Uang BOP Pemindahan Alat </t>
  </si>
  <si>
    <t>Makan dan Minum Lapangan Pagi</t>
  </si>
  <si>
    <t>Makan dan Minum Lapangan Malam</t>
  </si>
  <si>
    <t>Pembayaran Makan Minum Lapangan Pagi</t>
  </si>
  <si>
    <t>Pembayaran Makan Minum Lapangan Malam</t>
  </si>
  <si>
    <t>Pembayaran Biaya Pemasangan Instalasi Listrik</t>
  </si>
  <si>
    <t>Uang Harian Admin</t>
  </si>
  <si>
    <t>Makan Minum Lapangan Pagi</t>
  </si>
  <si>
    <t>Makan Minum Lapangan Malam</t>
  </si>
  <si>
    <t>Uang Harian Welder</t>
  </si>
  <si>
    <t>Pembayaran Uang Harian Admin</t>
  </si>
  <si>
    <t>Pembayaran Uang Harian Welder</t>
  </si>
  <si>
    <t xml:space="preserve">Pembayaran Pembelian Peralatan Lapangan : Kawat Las 2 Box </t>
  </si>
  <si>
    <t xml:space="preserve">Pembayaran Pembelian Peralatan Lapangan : Batu Grindra </t>
  </si>
  <si>
    <t>Pembayaran Pembelian Perlatan Lapangan : ATK</t>
  </si>
  <si>
    <t xml:space="preserve">Pembelian BBM 66 L </t>
  </si>
  <si>
    <t xml:space="preserve">Pembayaran Pembelian BBM 66 L </t>
  </si>
  <si>
    <t>Pembayaran Pembelian Solar 100 L</t>
  </si>
  <si>
    <t>Pembayaran Pembelian Rokok dan Air Mineral</t>
  </si>
  <si>
    <t>Pembelian BBM 400L</t>
  </si>
  <si>
    <t>Pembayaran Pembelian Oli Mesin</t>
  </si>
  <si>
    <t>Pembayaran Pembelian Atk</t>
  </si>
  <si>
    <t>Pembayaran Uang Mekanik Solar</t>
  </si>
  <si>
    <t>Pembayaran Pembelian BBM L</t>
  </si>
  <si>
    <t>Pembelian BBM 265 L</t>
  </si>
  <si>
    <t>Pembayaran Uang Jalan Mekanik</t>
  </si>
  <si>
    <t>Pembayaran Uang Loading Lempung</t>
  </si>
  <si>
    <t>Pembayaran Uang Security</t>
  </si>
  <si>
    <t xml:space="preserve">Pembelian BBM 1000L </t>
  </si>
  <si>
    <t>Pembelian Alat Tulis Kertas</t>
  </si>
  <si>
    <t>Pembelian BBM 1000L : H IFAN</t>
  </si>
  <si>
    <t xml:space="preserve">BOP Tamu </t>
  </si>
  <si>
    <t>Pembelian BBM 500L</t>
  </si>
  <si>
    <t>Pembayaran Anugrah : A Epan</t>
  </si>
  <si>
    <t>Pembayaran BOP Tamu : H Nani</t>
  </si>
  <si>
    <t>Pembelian BBM 500L H IFAN</t>
  </si>
  <si>
    <t>Makan Minum Lapangan</t>
  </si>
  <si>
    <t xml:space="preserve">Pembelian BBM 800L </t>
  </si>
  <si>
    <t>Pembayaran Pembelian  Press Selang Hidrolik</t>
  </si>
  <si>
    <t xml:space="preserve">Pembayaran Pembelian Kedok WTS </t>
  </si>
  <si>
    <t>Pembyaran Pembelian O Ring 4pcs SM18</t>
  </si>
  <si>
    <t>Pembayaran Pembelian O Ring 3Pcs</t>
  </si>
  <si>
    <t>Pembayaran Pembelian Bodem</t>
  </si>
  <si>
    <t>Pembayaran Pembelian Grase</t>
  </si>
  <si>
    <t>Pembayaran Pembelian Filter Alat SM18</t>
  </si>
  <si>
    <t xml:space="preserve">Pembayaran Pembelian BBM 800L </t>
  </si>
  <si>
    <t xml:space="preserve">Pembayaran Uang Deposit </t>
  </si>
  <si>
    <t>TOTAL RITASI TRONTON</t>
  </si>
  <si>
    <t>HARI</t>
  </si>
  <si>
    <t>TOTAL RITASI COLT DIESEL</t>
  </si>
  <si>
    <t>PASIR AYAK</t>
  </si>
  <si>
    <t xml:space="preserve">BOP EPAN </t>
  </si>
  <si>
    <t>Pembayaran Pembelian Sparepart Lapangan : Tang</t>
  </si>
  <si>
    <t>Pembelian BBM 400 L H IPAN</t>
  </si>
  <si>
    <t>Pembayaran BOP A Epan</t>
  </si>
  <si>
    <t>Uang Harian Pengawas</t>
  </si>
  <si>
    <t>BOP Warung</t>
  </si>
  <si>
    <t>BOP Tamu Bos</t>
  </si>
  <si>
    <t>Pembayaran Uang Harian Pengawas</t>
  </si>
  <si>
    <t>Pembayaran BOP Warung</t>
  </si>
  <si>
    <t>Pembayaran BOP Tamu Bos</t>
  </si>
  <si>
    <t>Makan Minum Lapangan Pagi dan Malam</t>
  </si>
  <si>
    <t xml:space="preserve">Pembelian BBM 500L </t>
  </si>
  <si>
    <t>Pembayaran Makan Minum Lapangan Pagi dan Malam</t>
  </si>
  <si>
    <t>Pembayaran  Warung</t>
  </si>
  <si>
    <t>Pembayaran Biaya Transportasi Ayakan : Sandi</t>
  </si>
  <si>
    <t xml:space="preserve">Biaya Loading Tanah </t>
  </si>
  <si>
    <t>Pembayaran Biaya Loading Tanah</t>
  </si>
  <si>
    <t>Pembayaran Pembayaran Warung</t>
  </si>
  <si>
    <t>Pembayaran Piutang  Stokfel</t>
  </si>
  <si>
    <t>Pembayaran Piutang Kas Stokfel</t>
  </si>
  <si>
    <t xml:space="preserve">Pembayaran Pembelian Solar Yadi Hariyadi </t>
  </si>
  <si>
    <t>Pembayaran Pembelian Perlatan Lapangan : Filter, Pompa, Majun, Baut</t>
  </si>
  <si>
    <t>Pembayaran Uang Loading Lempung H Ifan</t>
  </si>
  <si>
    <t>Pembayaran Pembayaran Pak Wanda</t>
  </si>
  <si>
    <t>Makan Minum Lapangan Pagi Malam</t>
  </si>
  <si>
    <t>Pemabayaran Uang Harian Operator</t>
  </si>
  <si>
    <t>Pemabayaran Uang Harian Checker</t>
  </si>
  <si>
    <t>Pemabayaran Uang Harian Pengawas</t>
  </si>
  <si>
    <t>Pemabayaran Makan Minum Lapangan Pagi Malam</t>
  </si>
  <si>
    <t>Pemabayaran Uang Harian Security</t>
  </si>
  <si>
    <t>Pemabayaran Pembayaran Warung</t>
  </si>
  <si>
    <t>Pemabayaran Biaya Loading Tanah H IFAN</t>
  </si>
  <si>
    <t>Pembayaran Pembelian Baut</t>
  </si>
  <si>
    <t xml:space="preserve">Pembayaran Biaya Admin Setor </t>
  </si>
  <si>
    <t>Pembayaran Uang Deposit : YAYASAN A TAQWA AL KHAIRIYAH</t>
  </si>
  <si>
    <t>Pembayaran Piutang Solar : Yadi Hariyadi</t>
  </si>
  <si>
    <t>Pembayaran Makan Minum Lapangan Pagi Malam</t>
  </si>
  <si>
    <t>Pembayaran Biaya Loading Tanah H Ifan</t>
  </si>
  <si>
    <t>Pembayaran Pembelian Peralatan Lapangan : Grease Champoil</t>
  </si>
  <si>
    <t>PEMBAGIAN MENJADI TRONTON</t>
  </si>
  <si>
    <t>Pembayaran Biaya Loading Tanah H IFAN 33RIT</t>
  </si>
  <si>
    <t>Pembayaran Pembelian Peralatan Lapangan : Baut Dompleng</t>
  </si>
  <si>
    <t xml:space="preserve">Pembayaran Pembelian Peralatan Lapangan : Alat Las </t>
  </si>
  <si>
    <t>Pembayaran Pembelian Sparepart Excavator Hitachi Kuku,Pin Kuku,dan Lampu : RODI SM18</t>
  </si>
  <si>
    <t>Admin Bank Setor Tunai</t>
  </si>
  <si>
    <t>Pembayaran Biaya Perbaikan Instalasi Listrik Lapangan</t>
  </si>
  <si>
    <t>Pembayaran Admin Bank Setor Tunai</t>
  </si>
  <si>
    <t>Pembayaran Pembelian Peralatan Lapangan: MCB 2, KABEL AKI,TERMINAL, PITTING</t>
  </si>
  <si>
    <t>Pasir Bahan</t>
  </si>
  <si>
    <t>Pemabayaran Makan Minum Lapangan Pagi</t>
  </si>
  <si>
    <t>Pemabayaran Makan Minum Lapangan Malam</t>
  </si>
  <si>
    <t>Pemabayaran BOP Warung</t>
  </si>
  <si>
    <t>Belanja Peralatan Lapangan</t>
  </si>
  <si>
    <t>Pembayaran Belanja Peralatan Lapangan : Oksigen dan Ongkos Belanja</t>
  </si>
  <si>
    <t>Pembayaran Pinjaman Kas Batu Split : Anugrah Alam Indonesia Jaya</t>
  </si>
  <si>
    <t>Pembayaran Pembelian Spare Part Alat Kuku Macan 2 Alat</t>
  </si>
  <si>
    <t>Pembayaran Pembelian Kawat Las, Sling, pin</t>
  </si>
  <si>
    <t>Pembayaran Uang Jalan Pengiriman BBM</t>
  </si>
  <si>
    <t>Pembayaran Uang Jalan Alat : Sandi</t>
  </si>
  <si>
    <t>Pembayaran Uang  Harian Operator</t>
  </si>
  <si>
    <t>Pembayaran Uang  Harian Checker</t>
  </si>
  <si>
    <t>Pembayaran Uang  Harian Pengawas</t>
  </si>
  <si>
    <t>Pembayaran Makan  Minum  Lapangan Pagi</t>
  </si>
  <si>
    <t>Pembayaran Makan  Minum  Lapangan Malam</t>
  </si>
  <si>
    <t>Pembayaran Biaya  Service  Lapangan Ayakan :Tukang Las</t>
  </si>
  <si>
    <t>Pembayaran BOP  BOP Warung</t>
  </si>
  <si>
    <t>Pembayaran Pembelian  Peralatan Lapangan Senter Kepala</t>
  </si>
  <si>
    <t>CSR Semen</t>
  </si>
  <si>
    <t>Pembayaran CSR Masjid Semen</t>
  </si>
  <si>
    <t>Pembelian BBM 300L</t>
  </si>
  <si>
    <t>Pembayaran Belanja Peralatan Lapangan : 5 Las Kuku</t>
  </si>
  <si>
    <t>Belanja Peralatan Lapangan Listrik</t>
  </si>
  <si>
    <t>Pembayaran Belanja Peralatan Lapangan Listrik</t>
  </si>
  <si>
    <t>Pembayaran Belanja Peralatan Lapangan : ATK</t>
  </si>
  <si>
    <t>Pembayaran Belanja Peralatan Lapangan : Baut</t>
  </si>
  <si>
    <t>Pembayaran Pembelian BBM 500L :H ifan</t>
  </si>
  <si>
    <t>Pinjaman Transportasi Ayakan dan Kempu</t>
  </si>
  <si>
    <t>Pinjaman Transprtasi Container</t>
  </si>
  <si>
    <t>Pinjaman Transportasi Alat</t>
  </si>
  <si>
    <t>Pinjaman Kuku Bucket dan Pin Kuku</t>
  </si>
  <si>
    <t>Pinjaman Spare Part 2 Alat Ciomas</t>
  </si>
  <si>
    <t>Pinjaman BBM Solar 3 Ton</t>
  </si>
  <si>
    <t>Pinjaman  Kordinasi Masyarakat Ciomas</t>
  </si>
  <si>
    <t xml:space="preserve">Pinjaman  Pembelian Kambing </t>
  </si>
  <si>
    <t>Pinjaman Peralatan Lapangan</t>
  </si>
  <si>
    <t>Pinjaman Peresmian Tambang</t>
  </si>
  <si>
    <t xml:space="preserve">Pinjaman Pembelian Peralatan Alat 2 Alat </t>
  </si>
  <si>
    <t>BOP BBM</t>
  </si>
  <si>
    <t>Pinjaman Pemindahan Alat</t>
  </si>
  <si>
    <t>LISTRIK</t>
  </si>
  <si>
    <t>Belanja Perlatan Lapangan</t>
  </si>
  <si>
    <t xml:space="preserve">Pembelian BBM 100 Liter </t>
  </si>
  <si>
    <t>Belanja Sparepart Alat Hitachi</t>
  </si>
  <si>
    <t>Belanja Oli Mesin</t>
  </si>
  <si>
    <t>Belanja Atk</t>
  </si>
  <si>
    <t>Uang Harian Mekanik</t>
  </si>
  <si>
    <t xml:space="preserve">BOP Uang Jalan Alat </t>
  </si>
  <si>
    <t>BOP Uang Jalan Mekanik</t>
  </si>
  <si>
    <t>Belanja ATK</t>
  </si>
  <si>
    <t>BOP A Epan Anugrah</t>
  </si>
  <si>
    <t xml:space="preserve">Belanja Sparepart Alat </t>
  </si>
  <si>
    <t>Belanja Peralatan Welder</t>
  </si>
  <si>
    <t>Belanja Sparepart Alat</t>
  </si>
  <si>
    <t>Belanja Sparepart Lapangan</t>
  </si>
  <si>
    <t xml:space="preserve">BOP  Transportasi Ayakan </t>
  </si>
  <si>
    <t>Pembayaran Cicilan Solar Yadi</t>
  </si>
  <si>
    <t>Pembayaran Piutang Solar Yadi</t>
  </si>
  <si>
    <t>BOP Pak Wanda</t>
  </si>
  <si>
    <t>Pinjaman Kas Batu Split (hm)</t>
  </si>
  <si>
    <t>KANTOR</t>
  </si>
  <si>
    <t>Pembayaran Belanja Peralatan Lapangan : FilterMMH, FILTEKHH,FILTER DONALDSON</t>
  </si>
  <si>
    <t>Label Baris</t>
  </si>
  <si>
    <t>Total Keseluruhan</t>
  </si>
  <si>
    <t>Jumlah dari TOTAL BAYAR</t>
  </si>
  <si>
    <t>Pembayaran BBM Yadi</t>
  </si>
  <si>
    <t>Gaji Operator Bulanan</t>
  </si>
  <si>
    <t>Gaji Checker Bulanan</t>
  </si>
  <si>
    <t>Gaji Helper Bulanan</t>
  </si>
  <si>
    <t>Gaji Admin Bulanan</t>
  </si>
  <si>
    <t xml:space="preserve">Gaji Pengawas Bulanan </t>
  </si>
  <si>
    <t>Gaji Bulanan Operator : Telong</t>
  </si>
  <si>
    <t>Gaji Bulanan Operator : FAT</t>
  </si>
  <si>
    <t>Gaji Bulanan Operator : Arsad</t>
  </si>
  <si>
    <t>Gaji Bulanan Operator : Menyon</t>
  </si>
  <si>
    <t>Gaji Bulanan Checker : Hikmal</t>
  </si>
  <si>
    <t>Gaji Bulanan Checker : Revan</t>
  </si>
  <si>
    <t>Gaji Bulanan Helper : Farhan</t>
  </si>
  <si>
    <t>Gaji Bulanan Helper : Ferdy</t>
  </si>
  <si>
    <t>Gaji Bulanan Admin : Rio</t>
  </si>
  <si>
    <t>Gaji Bulanan Pengawas : Gofar</t>
  </si>
  <si>
    <t>GAJI  KARYAWAN</t>
  </si>
  <si>
    <t>OP 4</t>
  </si>
  <si>
    <t>CHECKER 2</t>
  </si>
  <si>
    <t>ADMIN</t>
  </si>
  <si>
    <t>PENGAWASN</t>
  </si>
  <si>
    <t>HELPER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</si>
</sst>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_-[$Rp-421]* #,##0.00_-;\-[$Rp-421]* #,##0.00_-;_-[$Rp-421]* &quot;-&quot;??_-;_-@_-"/>
  </numFmts>
  <fonts count="11" x14ac:knownFonts="1"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sz val="10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  <font>
      <sz val="18"/>
      <color theme="1"/>
      <name val="Calibri"/>
      <family val="2"/>
      <charset val="1"/>
      <scheme val="minor"/>
    </font>
    <font>
      <b/>
      <sz val="12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6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1" xfId="0" applyBorder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pivotButton="1"/>
    <xf numFmtId="14" fontId="0" fillId="0" borderId="0" xfId="0" applyNumberFormat="1" applyFont="1" applyAlignment="1">
      <alignment horizontal="left" vertical="center"/>
    </xf>
    <xf numFmtId="0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164" fontId="0" fillId="0" borderId="0" xfId="0" applyNumberFormat="1" applyFont="1" applyAlignment="1">
      <alignment horizontal="left" vertical="center"/>
    </xf>
    <xf numFmtId="44" fontId="0" fillId="0" borderId="0" xfId="1" applyFont="1"/>
    <xf numFmtId="44" fontId="0" fillId="0" borderId="0" xfId="0" applyNumberFormat="1"/>
  </cellXfs>
  <cellStyles count="2">
    <cellStyle name="Mata Uang" xfId="1" builtinId="4"/>
    <cellStyle name="Normal" xfId="0" builtinId="0"/>
  </cellStyles>
  <dxfs count="15">
    <dxf>
      <numFmt numFmtId="164" formatCode="_-[$Rp-421]* #,##0.00_-;\-[$Rp-421]* #,##0.00_-;_-[$Rp-421]* &quot;-&quot;??_-;_-@_-"/>
    </dxf>
    <dxf>
      <numFmt numFmtId="164" formatCode="_-[$Rp-421]* #,##0.00_-;\-[$Rp-421]* #,##0.00_-;_-[$Rp-421]* &quot;-&quot;??_-;_-@_-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1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1"/>
        <scheme val="minor"/>
      </font>
      <numFmt numFmtId="164" formatCode="_-[$Rp-421]* #,##0.00_-;\-[$Rp-421]* #,##0.00_-;_-[$Rp-421]* &quot;-&quot;??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1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1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1"/>
        <scheme val="minor"/>
      </font>
      <alignment horizontal="left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charset val="1"/>
        <scheme val="minor"/>
      </font>
      <alignment horizontal="center" vertical="center" textRotation="0" wrapText="0" indent="0" justifyLastLine="0" shrinkToFit="0" readingOrder="0"/>
    </dxf>
    <dxf>
      <numFmt numFmtId="164" formatCode="_-[$Rp-421]* #,##0.00_-;\-[$Rp-421]* #,##0.00_-;_-[$Rp-421]* &quot;-&quot;??_-;_-@_-"/>
    </dxf>
    <dxf>
      <numFmt numFmtId="164" formatCode="_-[$Rp-421]* #,##0.00_-;\-[$Rp-421]* #,##0.00_-;_-[$Rp-421]* &quot;-&quot;??_-;_-@_-"/>
    </dxf>
    <dxf>
      <numFmt numFmtId="164" formatCode="_-[$Rp-421]* #,##0.00_-;\-[$Rp-421]* #,##0.00_-;_-[$Rp-421]* &quot;-&quot;??_-;_-@_-"/>
    </dxf>
    <dxf>
      <numFmt numFmtId="164" formatCode="_-[$Rp-421]* #,##0.00_-;\-[$Rp-421]* #,##0.00_-;_-[$Rp-421]* &quot;-&quot;??_-;_-@_-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rzha gusti" refreshedDate="45983.869713657405" createdVersion="8" refreshedVersion="8" minRefreshableVersion="3" recordCount="292" xr:uid="{ED5093AB-BCC4-4A8B-B559-6A6F2BCD46B5}">
  <cacheSource type="worksheet">
    <worksheetSource name="Tabel3"/>
  </cacheSource>
  <cacheFields count="8">
    <cacheField name="NO " numFmtId="0">
      <sharedItems containsString="0" containsBlank="1" containsNumber="1" containsInteger="1" minValue="1" maxValue="290"/>
    </cacheField>
    <cacheField name="TANGGAL " numFmtId="14">
      <sharedItems containsSemiMixedTypes="0" containsNonDate="0" containsDate="1" containsString="0" minDate="2025-10-11T00:00:00" maxDate="2025-11-19T00:00:00" count="38">
        <d v="2025-10-11T00:00:00"/>
        <d v="2025-10-12T00:00:00"/>
        <d v="2025-10-13T00:00:00"/>
        <d v="2025-10-14T00:00:00"/>
        <d v="2025-10-15T00:00:00"/>
        <d v="2025-10-16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</sharedItems>
      <fieldGroup par="7"/>
    </cacheField>
    <cacheField name="HARI " numFmtId="0">
      <sharedItems/>
    </cacheField>
    <cacheField name="KETERANGAN " numFmtId="0">
      <sharedItems count="70">
        <s v="Pinjaman Transportasi Ayakan dan Kempu"/>
        <s v="Pinjaman Transprtasi Container"/>
        <s v="Pinjaman Transportasi Alat"/>
        <s v="Pinjaman Kuku Bucket dan Pin Kuku"/>
        <s v="Pinjaman Spare Part 2 Alat Ciomas"/>
        <s v="Pinjaman BBM Solar 3 Ton"/>
        <s v="Uang Harian Operator"/>
        <s v="Uang Harian Kordinator"/>
        <s v="Makan dan Minum Lapangan"/>
        <s v="Pinjaman  Kordinasi Masyarakat Ciomas"/>
        <s v="Pinjaman  Pembelian Kambing "/>
        <s v="Pinjaman Peralatan Lapangan"/>
        <s v="Pinjaman Peresmian Tambang"/>
        <s v="Uang Harian Checker "/>
        <s v="Uang Harian Helper"/>
        <s v="Pinjaman Pembelian Peralatan Alat 2 Alat "/>
        <s v="Uang Harian Checker"/>
        <s v="BOP BBM"/>
        <s v="Uang Harian Security"/>
        <s v="Pinjaman Pemindahan Alat"/>
        <s v="Makan dan Minum Lapangan Pagi"/>
        <s v="Makan dan Minum Lapangan Malam"/>
        <s v="LISTRIK"/>
        <s v="Uang Harian Admin"/>
        <s v="Uang Harian Welder"/>
        <s v="Makan Minum Lapangan Pagi"/>
        <s v="Makan Minum Lapangan Malam"/>
        <s v="Belanja Peralatan Lapangan"/>
        <s v="Belanja Perlatan Lapangan"/>
        <s v="Pembelian BBM 66 L "/>
        <s v="Pembelian BBM 100 Liter "/>
        <s v="BOP Tamu "/>
        <s v="Belanja Sparepart Alat Hitachi"/>
        <s v="Belanja Oli Mesin"/>
        <s v="Belanja Atk"/>
        <s v="Uang Harian Mekanik"/>
        <s v="Pembelian BBM 400L"/>
        <s v="BOP Uang Jalan Alat "/>
        <s v="BOP Uang Jalan Mekanik"/>
        <s v="Pembelian BBM 265 L"/>
        <s v="Biaya Loading Tanah "/>
        <s v="Pembelian BBM 1000L "/>
        <s v="BOP A Epan Anugrah"/>
        <s v="Pembelian BBM 500L"/>
        <s v="Makan Minum Lapangan"/>
        <s v="Belanja Sparepart Alat "/>
        <s v="Belanja Peralatan Welder"/>
        <s v="Belanja Sparepart Alat"/>
        <s v="Pembelian BBM 800L "/>
        <s v="Pembayaran Uang Deposit "/>
        <s v="Belanja Sparepart Lapangan"/>
        <s v="BOP EPAN "/>
        <s v="Uang Harian Pengawas"/>
        <s v="BOP Warung"/>
        <s v="BOP Tamu Bos"/>
        <s v="Makan Minum Lapangan Pagi dan Malam"/>
        <s v="Pembelian BBM 500L "/>
        <s v="BOP  Transportasi Ayakan "/>
        <s v="Pembayaran Piutang  Stokfel"/>
        <s v="Pembayaran Cicilan Solar Yadi"/>
        <s v="Pembayaran Piutang Solar Yadi"/>
        <s v="BOP Pak Wanda"/>
        <s v="Pembayaran BBM Yadi"/>
        <s v="Makan Minum Lapangan Pagi Malam"/>
        <s v="Admin Bank Setor Tunai"/>
        <s v="Pinjaman Kas Batu Split (hm)"/>
        <s v="KANTOR"/>
        <s v="CSR Semen"/>
        <s v="Pembelian BBM 300L"/>
        <s v="Belanja Peralatan Lapangan Listrik"/>
      </sharedItems>
    </cacheField>
    <cacheField name="TOTAL BAYAR" numFmtId="164">
      <sharedItems containsSemiMixedTypes="0" containsString="0" containsNumber="1" containsInteger="1" minValue="5000" maxValue="35000000"/>
    </cacheField>
    <cacheField name="DESKRIPSI" numFmtId="0">
      <sharedItems containsBlank="1"/>
    </cacheField>
    <cacheField name="Hari (TANGGAL )" numFmtId="0" databaseField="0">
      <fieldGroup base="1">
        <rangePr groupBy="days" startDate="2025-10-11T00:00:00" endDate="2025-11-19T00:00:00"/>
        <groupItems count="368">
          <s v="&lt;11/10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ei"/>
          <s v="02-Mei"/>
          <s v="03-Mei"/>
          <s v="04-Mei"/>
          <s v="05-Mei"/>
          <s v="06-Mei"/>
          <s v="07-Mei"/>
          <s v="08-Mei"/>
          <s v="09-Mei"/>
          <s v="10-Mei"/>
          <s v="11-Mei"/>
          <s v="12-Mei"/>
          <s v="13-Mei"/>
          <s v="14-Mei"/>
          <s v="15-Mei"/>
          <s v="16-Mei"/>
          <s v="17-Mei"/>
          <s v="18-Mei"/>
          <s v="19-Mei"/>
          <s v="20-Mei"/>
          <s v="21-Mei"/>
          <s v="22-Mei"/>
          <s v="23-Mei"/>
          <s v="24-Mei"/>
          <s v="25-Mei"/>
          <s v="26-Mei"/>
          <s v="27-Mei"/>
          <s v="28-Mei"/>
          <s v="29-Mei"/>
          <s v="30-Mei"/>
          <s v="31-Mei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u"/>
          <s v="02-Agu"/>
          <s v="03-Agu"/>
          <s v="04-Agu"/>
          <s v="05-Agu"/>
          <s v="06-Agu"/>
          <s v="07-Agu"/>
          <s v="08-Agu"/>
          <s v="09-Agu"/>
          <s v="10-Agu"/>
          <s v="11-Agu"/>
          <s v="12-Agu"/>
          <s v="13-Agu"/>
          <s v="14-Agu"/>
          <s v="15-Agu"/>
          <s v="16-Agu"/>
          <s v="17-Agu"/>
          <s v="18-Agu"/>
          <s v="19-Agu"/>
          <s v="20-Agu"/>
          <s v="21-Agu"/>
          <s v="22-Agu"/>
          <s v="23-Agu"/>
          <s v="24-Agu"/>
          <s v="25-Agu"/>
          <s v="26-Agu"/>
          <s v="27-Agu"/>
          <s v="28-Agu"/>
          <s v="29-Agu"/>
          <s v="30-Agu"/>
          <s v="31-Agu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kt"/>
          <s v="02-Okt"/>
          <s v="03-Okt"/>
          <s v="04-Okt"/>
          <s v="05-Okt"/>
          <s v="06-Okt"/>
          <s v="07-Okt"/>
          <s v="08-Okt"/>
          <s v="09-Okt"/>
          <s v="10-Okt"/>
          <s v="11-Okt"/>
          <s v="12-Okt"/>
          <s v="13-Okt"/>
          <s v="14-Okt"/>
          <s v="15-Okt"/>
          <s v="16-Okt"/>
          <s v="17-Okt"/>
          <s v="18-Okt"/>
          <s v="19-Okt"/>
          <s v="20-Okt"/>
          <s v="21-Okt"/>
          <s v="22-Okt"/>
          <s v="23-Okt"/>
          <s v="24-Okt"/>
          <s v="25-Okt"/>
          <s v="26-Okt"/>
          <s v="27-Okt"/>
          <s v="28-Okt"/>
          <s v="29-Okt"/>
          <s v="30-Okt"/>
          <s v="31-Ok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s"/>
          <s v="02-Des"/>
          <s v="03-Des"/>
          <s v="04-Des"/>
          <s v="05-Des"/>
          <s v="06-Des"/>
          <s v="07-Des"/>
          <s v="08-Des"/>
          <s v="09-Des"/>
          <s v="10-Des"/>
          <s v="11-Des"/>
          <s v="12-Des"/>
          <s v="13-Des"/>
          <s v="14-Des"/>
          <s v="15-Des"/>
          <s v="16-Des"/>
          <s v="17-Des"/>
          <s v="18-Des"/>
          <s v="19-Des"/>
          <s v="20-Des"/>
          <s v="21-Des"/>
          <s v="22-Des"/>
          <s v="23-Des"/>
          <s v="24-Des"/>
          <s v="25-Des"/>
          <s v="26-Des"/>
          <s v="27-Des"/>
          <s v="28-Des"/>
          <s v="29-Des"/>
          <s v="30-Des"/>
          <s v="31-Des"/>
          <s v="&gt;19/11/2025"/>
        </groupItems>
      </fieldGroup>
    </cacheField>
    <cacheField name="Bulan (TANGGAL )" numFmtId="0" databaseField="0">
      <fieldGroup base="1">
        <rangePr groupBy="months" startDate="2025-10-11T00:00:00" endDate="2025-11-19T00:00:00"/>
        <groupItems count="14">
          <s v="&lt;11/10/2025"/>
          <s v="Jan"/>
          <s v="Feb"/>
          <s v="Mar"/>
          <s v="Apr"/>
          <s v="Mei"/>
          <s v="Jun"/>
          <s v="Jul"/>
          <s v="Agu"/>
          <s v="Sep"/>
          <s v="Okt"/>
          <s v="Nov"/>
          <s v="Des"/>
          <s v="&gt;19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">
  <r>
    <n v="1"/>
    <x v="0"/>
    <s v="Sabtu"/>
    <x v="0"/>
    <n v="1100000"/>
    <s v="Pembayaran Uang Jalan Ayak dan Kempu : Sandi"/>
  </r>
  <r>
    <n v="2"/>
    <x v="0"/>
    <s v="Sabtu"/>
    <x v="1"/>
    <n v="2300000"/>
    <s v="Pembayaran Uang Jalan Container : Hurbi Herdiana"/>
  </r>
  <r>
    <n v="3"/>
    <x v="0"/>
    <s v="Sabtu"/>
    <x v="2"/>
    <n v="1500000"/>
    <s v="Pembayaran Uang Jalan Excavator : Sandi"/>
  </r>
  <r>
    <n v="4"/>
    <x v="1"/>
    <s v="Minggu"/>
    <x v="3"/>
    <n v="1175000"/>
    <s v="Pembayaran Uang Pembelian Kuku Bucket dan Pin Kuku : Hurbikus Hendra"/>
  </r>
  <r>
    <n v="5"/>
    <x v="2"/>
    <s v="Senin"/>
    <x v="4"/>
    <n v="1025000"/>
    <s v="Pembelian Spare Part Alat AJT:Grace, Fsolar, Pompa Grace,F Sabuk"/>
  </r>
  <r>
    <n v="6"/>
    <x v="2"/>
    <s v="Senin"/>
    <x v="5"/>
    <n v="33000000"/>
    <s v="Pembelian Solar 3 Ton : Yadi Hariyadi"/>
  </r>
  <r>
    <n v="7"/>
    <x v="3"/>
    <s v="Selasa"/>
    <x v="6"/>
    <n v="300000"/>
    <s v="Pembayaran Uang Harian Operator : Telong"/>
  </r>
  <r>
    <n v="8"/>
    <x v="3"/>
    <s v="Selasa"/>
    <x v="7"/>
    <n v="100000"/>
    <s v="Pembayaran Uang Harian Kordinator : Gofar"/>
  </r>
  <r>
    <n v="9"/>
    <x v="3"/>
    <s v="Selasa"/>
    <x v="7"/>
    <n v="100000"/>
    <s v="Pembayaran Uang Harian Kordinator : Fendi"/>
  </r>
  <r>
    <n v="10"/>
    <x v="3"/>
    <s v="Selasa"/>
    <x v="7"/>
    <n v="100000"/>
    <s v="Pembayaran Uang Harian Kordinator : Ervan"/>
  </r>
  <r>
    <n v="11"/>
    <x v="3"/>
    <s v="Selasa"/>
    <x v="8"/>
    <n v="150000"/>
    <s v="Pembayaran Uang Harian Makan Minum Lapangan"/>
  </r>
  <r>
    <n v="12"/>
    <x v="3"/>
    <s v="Selasa"/>
    <x v="4"/>
    <n v="3640000"/>
    <s v="Pembayaran Pembelian 2 Aki dan Kepala Aki Anugrah Jaya Teknik"/>
  </r>
  <r>
    <n v="13"/>
    <x v="3"/>
    <s v="Selasa"/>
    <x v="9"/>
    <n v="2000000"/>
    <s v="Pembayaran BOP Kordinasi Masyarakat Ciomas : Asep, Ervan"/>
  </r>
  <r>
    <n v="14"/>
    <x v="3"/>
    <s v="Selasa"/>
    <x v="10"/>
    <n v="3500000"/>
    <s v="Pembayaran Pembelian Kambing Super dan Masak"/>
  </r>
  <r>
    <n v="15"/>
    <x v="4"/>
    <s v="Rabu"/>
    <x v="6"/>
    <n v="200000"/>
    <s v="Pembayaran Uang Harian Operator : Menyon"/>
  </r>
  <r>
    <n v="16"/>
    <x v="4"/>
    <s v="Rabu"/>
    <x v="6"/>
    <n v="200000"/>
    <s v="Pembayaran Uang Harian Operator : Fat"/>
  </r>
  <r>
    <n v="17"/>
    <x v="4"/>
    <s v="Rabu"/>
    <x v="7"/>
    <n v="100000"/>
    <s v="Pembayaran Uang Harian Kordinator : Gofar"/>
  </r>
  <r>
    <n v="18"/>
    <x v="4"/>
    <s v="Rabu"/>
    <x v="8"/>
    <n v="125000"/>
    <s v="Pembayaran Uang Makan dan Minum Lapangan "/>
  </r>
  <r>
    <n v="19"/>
    <x v="4"/>
    <s v="Rabu"/>
    <x v="11"/>
    <n v="75000"/>
    <s v="Pembayaran Pembelian Jerigen, Selang "/>
  </r>
  <r>
    <n v="20"/>
    <x v="4"/>
    <s v="Rabu"/>
    <x v="12"/>
    <n v="938000"/>
    <s v="Pembayaran Peresmian Tambang Ciomas : Roko, Tokoh, Ustad"/>
  </r>
  <r>
    <n v="21"/>
    <x v="5"/>
    <s v="Kamis"/>
    <x v="6"/>
    <n v="200000"/>
    <s v="Pembayaran Uang Harian Operator : Telong"/>
  </r>
  <r>
    <n v="22"/>
    <x v="5"/>
    <s v="Kamis"/>
    <x v="6"/>
    <n v="200000"/>
    <s v="Pembayaran Uang Harian Operator : Arsad "/>
  </r>
  <r>
    <n v="23"/>
    <x v="5"/>
    <s v="Kamis"/>
    <x v="13"/>
    <n v="100000"/>
    <s v="Pembayaran Uang Harian Checker : Gofar"/>
  </r>
  <r>
    <n v="24"/>
    <x v="5"/>
    <s v="Kamis"/>
    <x v="14"/>
    <n v="100000"/>
    <s v="Pembayaran Uang Harian Kenek : Ferdi "/>
  </r>
  <r>
    <n v="25"/>
    <x v="5"/>
    <s v="Kamis"/>
    <x v="8"/>
    <n v="100000"/>
    <s v="Pembayaran Makan Minum Lapangan"/>
  </r>
  <r>
    <n v="26"/>
    <x v="6"/>
    <s v="Sabtu"/>
    <x v="6"/>
    <n v="200000"/>
    <s v="Pembayaran Uang Harian Operator"/>
  </r>
  <r>
    <n v="27"/>
    <x v="6"/>
    <s v="Sabtu"/>
    <x v="6"/>
    <n v="200000"/>
    <s v="Pembayaran Uang Harian Operator"/>
  </r>
  <r>
    <n v="28"/>
    <x v="6"/>
    <s v="Sabtu"/>
    <x v="13"/>
    <n v="100000"/>
    <s v="Pembayaran Uang Harian Checker"/>
  </r>
  <r>
    <n v="29"/>
    <x v="6"/>
    <s v="Sabtu"/>
    <x v="14"/>
    <n v="100000"/>
    <s v="Pembayaran Uang Harian Helper"/>
  </r>
  <r>
    <n v="30"/>
    <x v="6"/>
    <s v="Sabtu"/>
    <x v="8"/>
    <n v="200000"/>
    <s v="Pembayaran Makan dan Minum Lapangan"/>
  </r>
  <r>
    <n v="31"/>
    <x v="6"/>
    <s v="Sabtu"/>
    <x v="15"/>
    <n v="50000"/>
    <s v="Pembayaran Pembelian Spare Part Alat Kuku Macan 2 Alat"/>
  </r>
  <r>
    <n v="32"/>
    <x v="7"/>
    <s v="Minggu"/>
    <x v="6"/>
    <n v="400000"/>
    <s v="Pembayaran Uang Harian Operator "/>
  </r>
  <r>
    <n v="33"/>
    <x v="7"/>
    <s v="Minggu"/>
    <x v="6"/>
    <n v="400000"/>
    <s v="Pembayaran Uang Harian Operator"/>
  </r>
  <r>
    <n v="34"/>
    <x v="7"/>
    <s v="Minggu"/>
    <x v="16"/>
    <n v="200000"/>
    <s v="Pembayaran Uang Harian Checker"/>
  </r>
  <r>
    <n v="35"/>
    <x v="7"/>
    <s v="Minggu"/>
    <x v="14"/>
    <n v="200000"/>
    <s v="Pembayaran Uang Harian Helper"/>
  </r>
  <r>
    <n v="36"/>
    <x v="7"/>
    <s v="Minggu"/>
    <x v="17"/>
    <n v="350000"/>
    <s v="Pembayaran Uang Jalan Pengiriman BBM"/>
  </r>
  <r>
    <n v="37"/>
    <x v="7"/>
    <s v="Minggu"/>
    <x v="18"/>
    <n v="50000"/>
    <s v="Pembayaran Uang Harian Security"/>
  </r>
  <r>
    <n v="38"/>
    <x v="7"/>
    <s v="Minggu"/>
    <x v="8"/>
    <n v="250000"/>
    <s v="Pembayaran Makan dan Minum Lapangan"/>
  </r>
  <r>
    <n v="39"/>
    <x v="7"/>
    <s v="Minggu"/>
    <x v="19"/>
    <n v="1000000"/>
    <s v="Pembayaran Uang BOP Pemindahan Alat "/>
  </r>
  <r>
    <n v="40"/>
    <x v="8"/>
    <s v="Senin"/>
    <x v="6"/>
    <n v="200000"/>
    <s v="Pembayaran Uang Harian Operator"/>
  </r>
  <r>
    <n v="41"/>
    <x v="8"/>
    <s v="Senin"/>
    <x v="6"/>
    <n v="200000"/>
    <s v="Pembayaran Uang Harian Operator "/>
  </r>
  <r>
    <n v="42"/>
    <x v="8"/>
    <s v="Senin"/>
    <x v="16"/>
    <n v="100000"/>
    <s v="Pembayaran Uang Harian Checker"/>
  </r>
  <r>
    <n v="43"/>
    <x v="8"/>
    <s v="Senin"/>
    <x v="20"/>
    <n v="100000"/>
    <s v="Pembayaran Makan Minum Lapangan Pagi"/>
  </r>
  <r>
    <n v="44"/>
    <x v="8"/>
    <s v="Senin"/>
    <x v="21"/>
    <n v="100000"/>
    <s v="Pembayaran Makan Minum Lapangan Malam"/>
  </r>
  <r>
    <n v="45"/>
    <x v="8"/>
    <s v="Senin"/>
    <x v="22"/>
    <n v="150000"/>
    <s v="Pembayaran Biaya Pemasangan Instalasi Listrik"/>
  </r>
  <r>
    <n v="46"/>
    <x v="9"/>
    <s v="Selasa"/>
    <x v="6"/>
    <n v="400000"/>
    <s v="Pembayaran Uang Harian Operator"/>
  </r>
  <r>
    <n v="47"/>
    <x v="9"/>
    <s v="Selasa"/>
    <x v="6"/>
    <n v="400000"/>
    <s v="Pembayaran Uang Harian Operator"/>
  </r>
  <r>
    <n v="48"/>
    <x v="9"/>
    <s v="Selasa"/>
    <x v="16"/>
    <n v="200000"/>
    <s v="Pembayaran Uang Harian Checker"/>
  </r>
  <r>
    <n v="49"/>
    <x v="9"/>
    <s v="Selasa"/>
    <x v="23"/>
    <n v="100000"/>
    <s v="Pembayaran Uang Harian Admin"/>
  </r>
  <r>
    <n v="50"/>
    <x v="9"/>
    <s v="Selasa"/>
    <x v="24"/>
    <n v="150000"/>
    <s v="Pembayaran Uang Harian Welder"/>
  </r>
  <r>
    <n v="51"/>
    <x v="9"/>
    <s v="Selasa"/>
    <x v="25"/>
    <n v="150000"/>
    <s v="Pembayaran Makan Minum Lapangan Pagi"/>
  </r>
  <r>
    <n v="52"/>
    <x v="9"/>
    <s v="Selasa"/>
    <x v="26"/>
    <n v="100000"/>
    <s v="Pembayaran Makan Minum Lapangan Malam"/>
  </r>
  <r>
    <n v="53"/>
    <x v="9"/>
    <s v="Selasa"/>
    <x v="27"/>
    <n v="166000"/>
    <s v="Pembayaran Pembelian Peralatan Lapangan : Kawat Las 2 Box "/>
  </r>
  <r>
    <n v="54"/>
    <x v="9"/>
    <s v="Selasa"/>
    <x v="27"/>
    <n v="30000"/>
    <s v="Pembayaran Pembelian Peralatan Lapangan : Batu Grindra "/>
  </r>
  <r>
    <n v="55"/>
    <x v="9"/>
    <s v="Selasa"/>
    <x v="28"/>
    <n v="50000"/>
    <s v="Pembayaran Pembelian Perlatan Lapangan : ATK"/>
  </r>
  <r>
    <n v="56"/>
    <x v="10"/>
    <s v="Rabu"/>
    <x v="6"/>
    <n v="400000"/>
    <s v="Pembayaran Uang Harian Operator"/>
  </r>
  <r>
    <n v="57"/>
    <x v="10"/>
    <s v="Rabu"/>
    <x v="6"/>
    <n v="400000"/>
    <s v="Pembayaran Uang Harian Operator"/>
  </r>
  <r>
    <n v="58"/>
    <x v="10"/>
    <s v="Rabu"/>
    <x v="13"/>
    <n v="200000"/>
    <s v="Pembayaran Uang Harian Checker"/>
  </r>
  <r>
    <n v="59"/>
    <x v="10"/>
    <s v="Rabu"/>
    <x v="14"/>
    <n v="50000"/>
    <s v="Pembayaran Uang Harian Helper"/>
  </r>
  <r>
    <n v="60"/>
    <x v="10"/>
    <s v="Rabu"/>
    <x v="25"/>
    <n v="150000"/>
    <s v="Pembayaran Makan Minum Lapangan"/>
  </r>
  <r>
    <n v="61"/>
    <x v="10"/>
    <s v="Rabu"/>
    <x v="26"/>
    <n v="100000"/>
    <s v="Pembayaran Makan Minum Lapangan"/>
  </r>
  <r>
    <n v="62"/>
    <x v="10"/>
    <s v="Rabu"/>
    <x v="29"/>
    <n v="660000"/>
    <s v="Pembayaran Pembelian BBM 66 L "/>
  </r>
  <r>
    <n v="63"/>
    <x v="11"/>
    <s v="Kamis"/>
    <x v="6"/>
    <n v="200000"/>
    <s v="Pembayaran Uang Harian Operator"/>
  </r>
  <r>
    <n v="64"/>
    <x v="11"/>
    <s v="Kamis"/>
    <x v="6"/>
    <n v="200000"/>
    <s v="Pembayaran Uang Harian Operator"/>
  </r>
  <r>
    <n v="65"/>
    <x v="11"/>
    <s v="Kamis"/>
    <x v="16"/>
    <n v="100000"/>
    <s v="Pembayaran Uang Harian Checker"/>
  </r>
  <r>
    <n v="66"/>
    <x v="11"/>
    <s v="Kamis"/>
    <x v="23"/>
    <n v="100000"/>
    <s v="Pembayaran Uang Harian Admin"/>
  </r>
  <r>
    <n v="67"/>
    <x v="11"/>
    <s v="Kamis"/>
    <x v="30"/>
    <n v="800000"/>
    <s v="Pembayaran Pembelian Solar 100 L"/>
  </r>
  <r>
    <n v="68"/>
    <x v="11"/>
    <s v="Kamis"/>
    <x v="31"/>
    <n v="395000"/>
    <s v="Pembayaran Pembelian Rokok dan Air Mineral"/>
  </r>
  <r>
    <n v="69"/>
    <x v="12"/>
    <s v="Jumat"/>
    <x v="32"/>
    <n v="1925000"/>
    <s v="Pembayaran Pembelian Sparepart Excavator Hitachi Kuku,Pin Kuku,dan Lampu : RODI SM18"/>
  </r>
  <r>
    <n v="70"/>
    <x v="12"/>
    <s v="Jumat"/>
    <x v="6"/>
    <n v="400000"/>
    <s v="Pembayaran Uang Harian Operator"/>
  </r>
  <r>
    <n v="71"/>
    <x v="12"/>
    <s v="Jumat"/>
    <x v="6"/>
    <n v="400000"/>
    <s v="Pembayaran Uang Harian Operator"/>
  </r>
  <r>
    <n v="72"/>
    <x v="12"/>
    <s v="Jumat"/>
    <x v="16"/>
    <n v="200000"/>
    <s v="Pembayaran Uang Harian Checker"/>
  </r>
  <r>
    <n v="73"/>
    <x v="12"/>
    <s v="Jumat"/>
    <x v="25"/>
    <n v="150000"/>
    <s v="Pembayaran Makan Minum Lapangan Pagi"/>
  </r>
  <r>
    <n v="74"/>
    <x v="12"/>
    <s v="Jumat"/>
    <x v="26"/>
    <n v="100000"/>
    <s v="Pembayaran Makan Minum Lapangan Malam"/>
  </r>
  <r>
    <n v="75"/>
    <x v="12"/>
    <s v="Jumat"/>
    <x v="33"/>
    <n v="40000"/>
    <s v="Pembayaran Pembelian Oli Mesin"/>
  </r>
  <r>
    <n v="76"/>
    <x v="12"/>
    <s v="Jumat"/>
    <x v="34"/>
    <n v="33000"/>
    <s v="Pembayaran Pembelian Atk"/>
  </r>
  <r>
    <n v="77"/>
    <x v="12"/>
    <s v="Jumat"/>
    <x v="35"/>
    <n v="100000"/>
    <s v="Pembayaran Uang Mekanik Solar"/>
  </r>
  <r>
    <n v="78"/>
    <x v="12"/>
    <s v="Jumat"/>
    <x v="36"/>
    <n v="3800000"/>
    <s v="Pembayaran Pembelian BBM L"/>
  </r>
  <r>
    <n v="79"/>
    <x v="12"/>
    <s v="Jumat"/>
    <x v="37"/>
    <n v="1300000"/>
    <s v="Pembayaran Uang Jalan Alat : Sandi"/>
  </r>
  <r>
    <n v="80"/>
    <x v="13"/>
    <s v="Sabtu"/>
    <x v="6"/>
    <n v="400000"/>
    <s v="Pembayaran Uang Harian Operator"/>
  </r>
  <r>
    <n v="81"/>
    <x v="13"/>
    <s v="Sabtu"/>
    <x v="6"/>
    <n v="400000"/>
    <s v="Pembayaran Uang Harian Operator"/>
  </r>
  <r>
    <n v="82"/>
    <x v="13"/>
    <s v="Sabtu"/>
    <x v="6"/>
    <n v="400000"/>
    <s v="Pembayaran Uang Harian Operator"/>
  </r>
  <r>
    <n v="83"/>
    <x v="13"/>
    <s v="Sabtu"/>
    <x v="16"/>
    <n v="200000"/>
    <s v="Pembayaran Uang Harian Checker"/>
  </r>
  <r>
    <n v="84"/>
    <x v="13"/>
    <s v="Sabtu"/>
    <x v="25"/>
    <n v="100000"/>
    <s v="Pembayaran Makan Minum Lapangan Pagi"/>
  </r>
  <r>
    <n v="85"/>
    <x v="13"/>
    <s v="Sabtu"/>
    <x v="26"/>
    <n v="120000"/>
    <s v="Pembayaran Makan Minum Lapangan Malam"/>
  </r>
  <r>
    <n v="86"/>
    <x v="13"/>
    <s v="Sabtu"/>
    <x v="38"/>
    <n v="100000"/>
    <s v="Pembayaran Uang Jalan Mekanik"/>
  </r>
  <r>
    <n v="87"/>
    <x v="13"/>
    <s v="Sabtu"/>
    <x v="39"/>
    <n v="2385000"/>
    <s v="Pembayaran Pembelian BBM L"/>
  </r>
  <r>
    <n v="88"/>
    <x v="13"/>
    <s v="Sabtu"/>
    <x v="36"/>
    <n v="4000000"/>
    <s v="Pembayaran Pembelian BBM L"/>
  </r>
  <r>
    <n v="89"/>
    <x v="13"/>
    <s v="Sabtu"/>
    <x v="40"/>
    <n v="360000"/>
    <s v="Pembayaran Uang Loading Lempung"/>
  </r>
  <r>
    <n v="90"/>
    <x v="14"/>
    <s v="Minggu"/>
    <x v="6"/>
    <n v="400000"/>
    <s v="Pembayaran Uang Harian Operator"/>
  </r>
  <r>
    <n v="91"/>
    <x v="14"/>
    <s v="Minggu"/>
    <x v="6"/>
    <n v="400000"/>
    <s v="Pembayaran Uang Harian Operator"/>
  </r>
  <r>
    <n v="92"/>
    <x v="14"/>
    <s v="Minggu"/>
    <x v="6"/>
    <n v="400000"/>
    <s v="Pembayaran Uang Harian Operator"/>
  </r>
  <r>
    <n v="93"/>
    <x v="14"/>
    <s v="Minggu"/>
    <x v="16"/>
    <n v="200000"/>
    <s v="Pembayaran Uang Harian Checker"/>
  </r>
  <r>
    <n v="94"/>
    <x v="14"/>
    <s v="Minggu"/>
    <x v="25"/>
    <n v="120000"/>
    <s v="Pembayaran Makan Minum Lapangan Pagi"/>
  </r>
  <r>
    <n v="95"/>
    <x v="14"/>
    <s v="Minggu"/>
    <x v="26"/>
    <n v="100000"/>
    <s v="Pembayaran Makan Minum Lapangan"/>
  </r>
  <r>
    <n v="96"/>
    <x v="14"/>
    <s v="Minggu"/>
    <x v="34"/>
    <n v="17000"/>
    <s v="Pembelian Alat Tulis Kertas"/>
  </r>
  <r>
    <n v="97"/>
    <x v="14"/>
    <s v="Minggu"/>
    <x v="18"/>
    <n v="50000"/>
    <s v="Pembayaran Uang Security"/>
  </r>
  <r>
    <n v="98"/>
    <x v="14"/>
    <s v="Minggu"/>
    <x v="40"/>
    <n v="63000"/>
    <s v="Pembayaran Uang Loading Lempung"/>
  </r>
  <r>
    <n v="99"/>
    <x v="15"/>
    <s v="Senin"/>
    <x v="41"/>
    <n v="10000000"/>
    <s v="Pembelian BBM 1000L : H IFAN"/>
  </r>
  <r>
    <n v="100"/>
    <x v="15"/>
    <s v="Senin"/>
    <x v="6"/>
    <n v="400000"/>
    <s v="Pembayaran Uang Harian Operator"/>
  </r>
  <r>
    <n v="101"/>
    <x v="15"/>
    <s v="Senin"/>
    <x v="6"/>
    <n v="400000"/>
    <s v="Pembayaran Uang Harian Operator"/>
  </r>
  <r>
    <n v="102"/>
    <x v="15"/>
    <s v="Senin"/>
    <x v="16"/>
    <n v="200000"/>
    <s v="Pembayaran Uang Harian Checker"/>
  </r>
  <r>
    <n v="103"/>
    <x v="15"/>
    <s v="Senin"/>
    <x v="25"/>
    <n v="100000"/>
    <s v="Pembayaran Makan Minum Lapangan Pagi"/>
  </r>
  <r>
    <n v="104"/>
    <x v="15"/>
    <s v="Senin"/>
    <x v="26"/>
    <n v="100000"/>
    <s v="Pembayaran Makan Minum Lapangan Malam"/>
  </r>
  <r>
    <n v="105"/>
    <x v="15"/>
    <s v="Senin"/>
    <x v="42"/>
    <n v="270000"/>
    <s v="Pembayaran Anugrah : A Epan"/>
  </r>
  <r>
    <n v="106"/>
    <x v="15"/>
    <s v="Senin"/>
    <x v="31"/>
    <n v="47000"/>
    <s v="Pembayaran BOP Tamu : H Nani"/>
  </r>
  <r>
    <n v="107"/>
    <x v="15"/>
    <s v="Senin"/>
    <x v="40"/>
    <n v="110000"/>
    <s v="Pembayaran Uang Loading Lempung"/>
  </r>
  <r>
    <n v="108"/>
    <x v="15"/>
    <s v="Senin"/>
    <x v="43"/>
    <n v="5000000"/>
    <s v="Pembelian BBM 500L H IFAN"/>
  </r>
  <r>
    <n v="109"/>
    <x v="16"/>
    <s v="Selasa"/>
    <x v="6"/>
    <n v="400000"/>
    <s v="Pembayaran Uang Harian Operator"/>
  </r>
  <r>
    <n v="110"/>
    <x v="16"/>
    <s v="Selasa"/>
    <x v="6"/>
    <n v="400000"/>
    <s v="Pembayaran Uang Harian Operator"/>
  </r>
  <r>
    <n v="111"/>
    <x v="16"/>
    <s v="Selasa"/>
    <x v="6"/>
    <n v="400000"/>
    <s v="Pembayaran Uang Harian Operator"/>
  </r>
  <r>
    <n v="112"/>
    <x v="16"/>
    <s v="Selasa"/>
    <x v="16"/>
    <n v="200000"/>
    <s v="Pembayaran Uang Harian Checker"/>
  </r>
  <r>
    <n v="113"/>
    <x v="16"/>
    <s v="Selasa"/>
    <x v="18"/>
    <n v="50000"/>
    <s v="Pembayaran Uang Harian Security"/>
  </r>
  <r>
    <n v="114"/>
    <x v="16"/>
    <s v="Selasa"/>
    <x v="44"/>
    <n v="100000"/>
    <s v="Pembayaran Makan Minum Lapangan"/>
  </r>
  <r>
    <n v="115"/>
    <x v="16"/>
    <s v="Selasa"/>
    <x v="45"/>
    <n v="950000"/>
    <s v="Pembayaran Pembelian  Press Selang Hidrolik"/>
  </r>
  <r>
    <n v="116"/>
    <x v="16"/>
    <s v="Selasa"/>
    <x v="45"/>
    <n v="80000"/>
    <s v="Pembyaran Pembelian O Ring 4pcs SM18"/>
  </r>
  <r>
    <n v="117"/>
    <x v="16"/>
    <s v="Selasa"/>
    <x v="46"/>
    <n v="72000"/>
    <s v="Pembayaran Pembelian Kedok WTS "/>
  </r>
  <r>
    <n v="118"/>
    <x v="16"/>
    <s v="Selasa"/>
    <x v="45"/>
    <n v="45000"/>
    <s v="Pembayaran Pembelian O Ring 3Pcs"/>
  </r>
  <r>
    <n v="119"/>
    <x v="16"/>
    <s v="Selasa"/>
    <x v="27"/>
    <n v="70000"/>
    <s v="Pembayaran Pembelian Bodem"/>
  </r>
  <r>
    <n v="120"/>
    <x v="16"/>
    <s v="Selasa"/>
    <x v="47"/>
    <n v="512000"/>
    <s v="Pembayaran Pembelian Grase"/>
  </r>
  <r>
    <n v="121"/>
    <x v="16"/>
    <s v="Selasa"/>
    <x v="47"/>
    <n v="500000"/>
    <s v="Pembayaran Pembelian Filter Alat SM18"/>
  </r>
  <r>
    <n v="122"/>
    <x v="16"/>
    <s v="Selasa"/>
    <x v="48"/>
    <n v="8000000"/>
    <s v="Pembayaran Pembelian BBM 800L "/>
  </r>
  <r>
    <n v="123"/>
    <x v="16"/>
    <s v="Selasa"/>
    <x v="49"/>
    <n v="35000000"/>
    <s v="Pembayaran Uang Deposit : YAYASAN A TAQWA AL KHAIRIYAH"/>
  </r>
  <r>
    <n v="124"/>
    <x v="17"/>
    <s v="Rabu"/>
    <x v="6"/>
    <n v="400000"/>
    <s v="Pembayaran Uang Harian Operator"/>
  </r>
  <r>
    <n v="125"/>
    <x v="17"/>
    <s v="Rabu"/>
    <x v="6"/>
    <n v="400000"/>
    <s v="Pembayaran Uang Harian Operator"/>
  </r>
  <r>
    <n v="126"/>
    <x v="17"/>
    <s v="Rabu"/>
    <x v="6"/>
    <n v="400000"/>
    <s v="Pembayaran Uang Harian Operator"/>
  </r>
  <r>
    <n v="127"/>
    <x v="17"/>
    <s v="Rabu"/>
    <x v="16"/>
    <n v="200000"/>
    <s v="Pembayaran Uang Harian Checker"/>
  </r>
  <r>
    <n v="128"/>
    <x v="17"/>
    <s v="Rabu"/>
    <x v="24"/>
    <n v="200000"/>
    <s v="Pembayaran Uang Harian Welder"/>
  </r>
  <r>
    <n v="129"/>
    <x v="17"/>
    <s v="Rabu"/>
    <x v="44"/>
    <n v="200000"/>
    <s v="Pembayaran Makan Minum Lapangan"/>
  </r>
  <r>
    <n v="130"/>
    <x v="17"/>
    <s v="Rabu"/>
    <x v="50"/>
    <n v="25000"/>
    <s v="Pembayaran Pembelian Sparepart Lapangan : Tang"/>
  </r>
  <r>
    <n v="131"/>
    <x v="17"/>
    <s v="Rabu"/>
    <x v="36"/>
    <n v="4000000"/>
    <s v="Pembelian BBM 400 L H IPAN"/>
  </r>
  <r>
    <n v="133"/>
    <x v="17"/>
    <s v="Rabu"/>
    <x v="51"/>
    <n v="60000"/>
    <s v="Pembayaran BOP A Epan"/>
  </r>
  <r>
    <n v="134"/>
    <x v="18"/>
    <s v="Kamis"/>
    <x v="6"/>
    <n v="200000"/>
    <s v="Pembayaran Uang Harian Operator"/>
  </r>
  <r>
    <n v="135"/>
    <x v="18"/>
    <s v="Kamis"/>
    <x v="6"/>
    <n v="200000"/>
    <s v="Pembayaran Uang Harian Operator"/>
  </r>
  <r>
    <n v="136"/>
    <x v="18"/>
    <s v="Kamis"/>
    <x v="6"/>
    <n v="200000"/>
    <s v="Pembayaran Uang Harian Operator"/>
  </r>
  <r>
    <n v="137"/>
    <x v="18"/>
    <s v="Kamis"/>
    <x v="16"/>
    <n v="100000"/>
    <s v="Pembayaran Uang Harian Checker"/>
  </r>
  <r>
    <n v="138"/>
    <x v="18"/>
    <s v="Kamis"/>
    <x v="23"/>
    <n v="150000"/>
    <s v="Pembayaran Uang Harian Admin"/>
  </r>
  <r>
    <n v="139"/>
    <x v="18"/>
    <s v="Kamis"/>
    <x v="52"/>
    <n v="200000"/>
    <s v="Pembayaran Uang Harian Pengawas"/>
  </r>
  <r>
    <n v="140"/>
    <x v="18"/>
    <s v="Kamis"/>
    <x v="44"/>
    <n v="100000"/>
    <s v="Pembayaran Makan Minum Lapangan"/>
  </r>
  <r>
    <n v="141"/>
    <x v="18"/>
    <s v="Kamis"/>
    <x v="53"/>
    <n v="82000"/>
    <s v="Pembayaran BOP Warung"/>
  </r>
  <r>
    <n v="142"/>
    <x v="18"/>
    <s v="Kamis"/>
    <x v="54"/>
    <n v="70000"/>
    <s v="Pembayaran BOP Tamu Bos"/>
  </r>
  <r>
    <n v="143"/>
    <x v="18"/>
    <s v="Kamis"/>
    <x v="18"/>
    <n v="100000"/>
    <s v="Pembayaran Uang Harian Security"/>
  </r>
  <r>
    <n v="143"/>
    <x v="19"/>
    <s v="Jumat"/>
    <x v="6"/>
    <n v="400000"/>
    <s v="Pembayaran Uang Harian Operator"/>
  </r>
  <r>
    <n v="144"/>
    <x v="19"/>
    <s v="Jumat"/>
    <x v="6"/>
    <n v="400000"/>
    <s v="Pembayaran Uang Harian Operator"/>
  </r>
  <r>
    <n v="145"/>
    <x v="19"/>
    <s v="Jumat"/>
    <x v="6"/>
    <n v="400000"/>
    <s v="Pembayaran Uang Harian Operator"/>
  </r>
  <r>
    <n v="146"/>
    <x v="19"/>
    <s v="Jumat"/>
    <x v="52"/>
    <n v="400000"/>
    <s v="Pembayaran Uang Harian Pengawas"/>
  </r>
  <r>
    <n v="147"/>
    <x v="19"/>
    <s v="Jumat"/>
    <x v="16"/>
    <n v="200000"/>
    <s v="Pembayaran Uang Harian Checker"/>
  </r>
  <r>
    <n v="148"/>
    <x v="19"/>
    <s v="Jumat"/>
    <x v="55"/>
    <n v="200000"/>
    <s v="Pembayaran Makan Minum Lapangan Pagi dan Malam"/>
  </r>
  <r>
    <n v="149"/>
    <x v="19"/>
    <s v="Jumat"/>
    <x v="56"/>
    <n v="5000000"/>
    <s v="Pembelian BBM 500L H IFAN"/>
  </r>
  <r>
    <n v="149"/>
    <x v="20"/>
    <s v="Sabtu"/>
    <x v="6"/>
    <n v="400000"/>
    <s v="Pembayaran Uang Harian Operator"/>
  </r>
  <r>
    <n v="150"/>
    <x v="20"/>
    <s v="Sabtu"/>
    <x v="6"/>
    <n v="400000"/>
    <s v="Pembayaran Uang Harian Operator"/>
  </r>
  <r>
    <n v="151"/>
    <x v="20"/>
    <s v="Sabtu"/>
    <x v="16"/>
    <n v="200000"/>
    <s v="Pembayaran Uang Harian Checker"/>
  </r>
  <r>
    <n v="152"/>
    <x v="20"/>
    <s v="Sabtu"/>
    <x v="52"/>
    <n v="400000"/>
    <s v="Pembayaran Uang Harian Pengawas"/>
  </r>
  <r>
    <n v="153"/>
    <x v="20"/>
    <s v="Sabtu"/>
    <x v="55"/>
    <n v="200000"/>
    <s v="Pembayaran Makan Minum Lapangan Pagi dan Malam"/>
  </r>
  <r>
    <n v="154"/>
    <x v="20"/>
    <s v="Sabtu"/>
    <x v="53"/>
    <n v="70000"/>
    <s v="Pembayaran  Warung"/>
  </r>
  <r>
    <n v="155"/>
    <x v="20"/>
    <s v="Sabtu"/>
    <x v="57"/>
    <n v="1000000"/>
    <s v="Pembayaran Biaya Transportasi Ayakan : Sandi"/>
  </r>
  <r>
    <n v="156"/>
    <x v="21"/>
    <s v="Minggu"/>
    <x v="6"/>
    <n v="400000"/>
    <s v="Pembayaran Uang Harian Operator"/>
  </r>
  <r>
    <n v="157"/>
    <x v="21"/>
    <s v="Minggu"/>
    <x v="6"/>
    <n v="400000"/>
    <s v="Pembayaran Uang Harian Operator"/>
  </r>
  <r>
    <n v="158"/>
    <x v="21"/>
    <s v="Minggu"/>
    <x v="6"/>
    <n v="400000"/>
    <s v="Pembayaran Uang Harian Operator"/>
  </r>
  <r>
    <n v="159"/>
    <x v="21"/>
    <s v="Minggu"/>
    <x v="16"/>
    <n v="200000"/>
    <s v="Pembayaran Uang Harian Checker"/>
  </r>
  <r>
    <n v="160"/>
    <x v="21"/>
    <s v="Minggu"/>
    <x v="52"/>
    <n v="400000"/>
    <s v="Pembayaran Uang Harian Pengawas"/>
  </r>
  <r>
    <n v="161"/>
    <x v="21"/>
    <s v="Minggu"/>
    <x v="55"/>
    <n v="200000"/>
    <s v="Pembayaran Makan Minum Lapangan Pagi dan Malam"/>
  </r>
  <r>
    <n v="162"/>
    <x v="21"/>
    <s v="Minggu"/>
    <x v="40"/>
    <n v="210000"/>
    <s v="Pembayaran Biaya Loading Tanah"/>
  </r>
  <r>
    <n v="163"/>
    <x v="22"/>
    <s v="Senin"/>
    <x v="6"/>
    <n v="400000"/>
    <s v="Pembayaran Uang Harian Operator"/>
  </r>
  <r>
    <n v="164"/>
    <x v="22"/>
    <s v="Senin"/>
    <x v="6"/>
    <n v="400000"/>
    <s v="Pembayaran Uang Harian Operator"/>
  </r>
  <r>
    <n v="165"/>
    <x v="22"/>
    <s v="Senin"/>
    <x v="16"/>
    <n v="200000"/>
    <s v="Pembayaran Uang Harian Checker"/>
  </r>
  <r>
    <n v="166"/>
    <x v="22"/>
    <s v="Senin"/>
    <x v="52"/>
    <n v="400000"/>
    <s v="Pembayaran Uang Harian Pengawas"/>
  </r>
  <r>
    <n v="167"/>
    <x v="22"/>
    <s v="Senin"/>
    <x v="23"/>
    <n v="300000"/>
    <s v="Pembayaran Uang Harian Admin"/>
  </r>
  <r>
    <n v="168"/>
    <x v="22"/>
    <s v="Senin"/>
    <x v="18"/>
    <n v="50000"/>
    <s v="Pembayaran Uang Harian Security"/>
  </r>
  <r>
    <n v="169"/>
    <x v="22"/>
    <s v="Senin"/>
    <x v="55"/>
    <n v="200000"/>
    <s v="Pembayaran Makan Minum Lapangan Pagi dan Malam"/>
  </r>
  <r>
    <n v="170"/>
    <x v="22"/>
    <s v="Senin"/>
    <x v="53"/>
    <n v="144000"/>
    <s v="Pembayaran Pembayaran Warung"/>
  </r>
  <r>
    <n v="171"/>
    <x v="22"/>
    <s v="Senin"/>
    <x v="40"/>
    <n v="120000"/>
    <s v="Pembayaran Biaya Loading Tanah"/>
  </r>
  <r>
    <n v="172"/>
    <x v="22"/>
    <s v="Senin"/>
    <x v="58"/>
    <n v="12950000"/>
    <s v="Pembayaran Piutang Kas Stokfel"/>
  </r>
  <r>
    <n v="173"/>
    <x v="22"/>
    <s v="Senin"/>
    <x v="59"/>
    <n v="25000000"/>
    <s v="Pembayaran Pembelian Solar Yadi Hariyadi "/>
  </r>
  <r>
    <n v="174"/>
    <x v="23"/>
    <s v="Selasa"/>
    <x v="6"/>
    <n v="400000"/>
    <s v="Pembayaran Uang Harian Operator"/>
  </r>
  <r>
    <n v="175"/>
    <x v="23"/>
    <s v="Selasa"/>
    <x v="6"/>
    <n v="400000"/>
    <s v="Pembayaran Uang Harian Operator"/>
  </r>
  <r>
    <n v="176"/>
    <x v="23"/>
    <s v="Selasa"/>
    <x v="6"/>
    <n v="400000"/>
    <s v="Pembayaran Uang Harian Operator"/>
  </r>
  <r>
    <n v="177"/>
    <x v="23"/>
    <s v="Selasa"/>
    <x v="16"/>
    <n v="200000"/>
    <s v="Pembayaran Uang Harian Checker"/>
  </r>
  <r>
    <n v="178"/>
    <x v="23"/>
    <s v="Selasa"/>
    <x v="52"/>
    <n v="400000"/>
    <s v="Pembayaran Uang Harian Pengawas"/>
  </r>
  <r>
    <n v="179"/>
    <x v="23"/>
    <s v="Selasa"/>
    <x v="55"/>
    <n v="200000"/>
    <s v="Pembayaran Makan Minum Lapangan Pagi dan Malam"/>
  </r>
  <r>
    <n v="180"/>
    <x v="23"/>
    <s v="Selasa"/>
    <x v="27"/>
    <n v="465000"/>
    <s v="Pembayaran Pembelian Perlatan Lapangan : Filter, Pompa, Majun, Baut"/>
  </r>
  <r>
    <n v="181"/>
    <x v="23"/>
    <s v="Selasa"/>
    <x v="40"/>
    <n v="170000"/>
    <s v="Pembayaran Uang Loading Lempung H Ifan"/>
  </r>
  <r>
    <n v="182"/>
    <x v="23"/>
    <s v="Selasa"/>
    <x v="60"/>
    <n v="30000000"/>
    <s v="Pembayaran Piutang Solar : Yadi Hariyadi"/>
  </r>
  <r>
    <n v="183"/>
    <x v="24"/>
    <s v="Rabu"/>
    <x v="6"/>
    <n v="400000"/>
    <s v="Pembayaran Uang Harian Operator"/>
  </r>
  <r>
    <n v="184"/>
    <x v="24"/>
    <s v="Rabu"/>
    <x v="6"/>
    <n v="400000"/>
    <s v="Pembayaran Uang Harian Operator"/>
  </r>
  <r>
    <n v="185"/>
    <x v="24"/>
    <s v="Rabu"/>
    <x v="16"/>
    <n v="200000"/>
    <s v="Pembayaran Uang Harian Checker"/>
  </r>
  <r>
    <n v="186"/>
    <x v="24"/>
    <s v="Rabu"/>
    <x v="52"/>
    <n v="400000"/>
    <s v="Pembayaran Uang Harian Pengawas"/>
  </r>
  <r>
    <n v="187"/>
    <x v="24"/>
    <s v="Rabu"/>
    <x v="55"/>
    <n v="200000"/>
    <s v="Pembayaran Makan Minum Lapangan Pagi dan Malam"/>
  </r>
  <r>
    <n v="188"/>
    <x v="24"/>
    <s v="Rabu"/>
    <x v="61"/>
    <n v="350000"/>
    <s v="Pembayaran Pembayaran Pak Wanda"/>
  </r>
  <r>
    <n v="189"/>
    <x v="24"/>
    <s v="Rabu"/>
    <x v="40"/>
    <n v="90000"/>
    <s v="Pembayaran Biaya Loading Tanah"/>
  </r>
  <r>
    <m/>
    <x v="24"/>
    <s v="Rabu"/>
    <x v="62"/>
    <n v="5000000"/>
    <m/>
  </r>
  <r>
    <n v="190"/>
    <x v="25"/>
    <s v="Kamis"/>
    <x v="6"/>
    <n v="400000"/>
    <s v="Pemabayaran Uang Harian Operator"/>
  </r>
  <r>
    <n v="191"/>
    <x v="25"/>
    <s v="Kamis"/>
    <x v="6"/>
    <n v="200000"/>
    <s v="Pemabayaran Uang Harian Operator"/>
  </r>
  <r>
    <n v="192"/>
    <x v="25"/>
    <s v="Kamis"/>
    <x v="16"/>
    <n v="200000"/>
    <s v="Pemabayaran Uang Harian Checker"/>
  </r>
  <r>
    <n v="193"/>
    <x v="25"/>
    <s v="Kamis"/>
    <x v="52"/>
    <n v="400000"/>
    <s v="Pemabayaran Uang Harian Pengawas"/>
  </r>
  <r>
    <n v="194"/>
    <x v="25"/>
    <s v="Kamis"/>
    <x v="63"/>
    <n v="200000"/>
    <s v="Pemabayaran Makan Minum Lapangan Pagi Malam"/>
  </r>
  <r>
    <n v="195"/>
    <x v="25"/>
    <s v="Kamis"/>
    <x v="18"/>
    <n v="50000"/>
    <s v="Pemabayaran Uang Harian Security"/>
  </r>
  <r>
    <n v="196"/>
    <x v="25"/>
    <s v="Kamis"/>
    <x v="40"/>
    <n v="305000"/>
    <s v="Pemabayaran Biaya Loading Tanah H IFAN"/>
  </r>
  <r>
    <n v="197"/>
    <x v="25"/>
    <s v="Kamis"/>
    <x v="53"/>
    <n v="40000"/>
    <s v="Pemabayaran Pembayaran Warung"/>
  </r>
  <r>
    <n v="198"/>
    <x v="25"/>
    <s v="Kamis"/>
    <x v="28"/>
    <n v="10000"/>
    <s v="Pembayaran Pembelian Baut"/>
  </r>
  <r>
    <n v="199"/>
    <x v="25"/>
    <s v="Kamis"/>
    <x v="64"/>
    <n v="10000"/>
    <s v="Pembayaran Biaya Admin Setor "/>
  </r>
  <r>
    <n v="200"/>
    <x v="26"/>
    <s v="Jumat"/>
    <x v="6"/>
    <n v="400000"/>
    <s v="Pembayaran Uang Harian Operator"/>
  </r>
  <r>
    <n v="201"/>
    <x v="26"/>
    <s v="Jumat"/>
    <x v="6"/>
    <n v="400000"/>
    <s v="Pembayaran Uang Harian Operator"/>
  </r>
  <r>
    <n v="202"/>
    <x v="26"/>
    <s v="Jumat"/>
    <x v="16"/>
    <n v="200000"/>
    <s v="Pembayaran Uang Harian Checker"/>
  </r>
  <r>
    <n v="203"/>
    <x v="26"/>
    <s v="Jumat"/>
    <x v="52"/>
    <n v="400000"/>
    <s v="Pembayaran Uang Harian Pengawas"/>
  </r>
  <r>
    <n v="204"/>
    <x v="26"/>
    <s v="Jumat"/>
    <x v="63"/>
    <n v="200000"/>
    <s v="Pembayaran Makan Minum Lapangan Pagi Malam"/>
  </r>
  <r>
    <n v="205"/>
    <x v="26"/>
    <s v="Jumat"/>
    <x v="53"/>
    <n v="116000"/>
    <s v="Pembayaran Pembayaran Warung"/>
  </r>
  <r>
    <n v="206"/>
    <x v="26"/>
    <s v="Jumat"/>
    <x v="40"/>
    <n v="480000"/>
    <s v="Pembayaran Biaya Loading Tanah H Ifan"/>
  </r>
  <r>
    <n v="207"/>
    <x v="26"/>
    <s v="Jumat"/>
    <x v="27"/>
    <n v="435000"/>
    <s v="Pembayaran Pembelian Peralatan Lapangan : Grease Champoil"/>
  </r>
  <r>
    <n v="208"/>
    <x v="27"/>
    <s v="Sabtu"/>
    <x v="6"/>
    <n v="800000"/>
    <s v="Pembayaran Uang Harian Operator"/>
  </r>
  <r>
    <n v="209"/>
    <x v="27"/>
    <s v="Sabtu"/>
    <x v="16"/>
    <n v="200000"/>
    <s v="Pembayaran Uang Harian Checker"/>
  </r>
  <r>
    <n v="210"/>
    <x v="27"/>
    <s v="Sabtu"/>
    <x v="52"/>
    <n v="400000"/>
    <s v="Pembayaran Uang Harian Pengawas"/>
  </r>
  <r>
    <n v="211"/>
    <x v="27"/>
    <s v="Sabtu"/>
    <x v="25"/>
    <n v="100000"/>
    <s v="Pembayaran Makan Minum Lapangan Pagi"/>
  </r>
  <r>
    <n v="212"/>
    <x v="27"/>
    <s v="Sabtu"/>
    <x v="26"/>
    <n v="100000"/>
    <s v="Pembayaran Makan Minum Lapangan Malam"/>
  </r>
  <r>
    <n v="213"/>
    <x v="27"/>
    <s v="Sabtu"/>
    <x v="27"/>
    <n v="10000"/>
    <s v="Pembayaran Pembelian Peralatan Lapangan : Baut Dompleng"/>
  </r>
  <r>
    <n v="214"/>
    <x v="27"/>
    <s v="Sabtu"/>
    <x v="40"/>
    <n v="330000"/>
    <s v="Pembayaran Biaya Loading Tanah H IFAN 33RIT"/>
  </r>
  <r>
    <n v="215"/>
    <x v="28"/>
    <s v="Minggu"/>
    <x v="6"/>
    <n v="400000"/>
    <s v="Pembayaran Uang Harian Operator"/>
  </r>
  <r>
    <n v="216"/>
    <x v="28"/>
    <s v="Minggu"/>
    <x v="52"/>
    <n v="400000"/>
    <s v="Pembayaran Uang Harian Pengawas"/>
  </r>
  <r>
    <n v="217"/>
    <x v="28"/>
    <s v="Minggu"/>
    <x v="16"/>
    <n v="200000"/>
    <s v="Pembayaran Uang Harian Checker"/>
  </r>
  <r>
    <n v="218"/>
    <x v="28"/>
    <s v="Minggu"/>
    <x v="25"/>
    <n v="75000"/>
    <s v="Pembayaran Makan Minum Lapangan Pagi"/>
  </r>
  <r>
    <n v="219"/>
    <x v="28"/>
    <s v="Minggu"/>
    <x v="26"/>
    <n v="75000"/>
    <s v="Pembayaran Makan Minum Lapangan Malam"/>
  </r>
  <r>
    <n v="220"/>
    <x v="28"/>
    <s v="Minggu"/>
    <x v="27"/>
    <n v="370000"/>
    <s v="Pembayaran Pembelian Peralatan Lapangan : Alat Las "/>
  </r>
  <r>
    <n v="221"/>
    <x v="28"/>
    <s v="Minggu"/>
    <x v="53"/>
    <n v="25000"/>
    <s v="Pembayaran BOP Warung"/>
  </r>
  <r>
    <n v="222"/>
    <x v="29"/>
    <s v="Senin"/>
    <x v="6"/>
    <n v="400000"/>
    <s v="Pembayaran Uang Harian Operator"/>
  </r>
  <r>
    <n v="223"/>
    <x v="29"/>
    <s v="Senin"/>
    <x v="16"/>
    <n v="200000"/>
    <s v="Pembayaran Uang Harian Checker"/>
  </r>
  <r>
    <n v="224"/>
    <x v="29"/>
    <s v="Senin"/>
    <x v="52"/>
    <n v="400000"/>
    <s v="Pembayaran Uang Harian Pengawas"/>
  </r>
  <r>
    <n v="225"/>
    <x v="29"/>
    <s v="Senin"/>
    <x v="25"/>
    <n v="75000"/>
    <s v="Pembayaran Makan Minum Lapangan Pagi"/>
  </r>
  <r>
    <n v="226"/>
    <x v="29"/>
    <s v="Senin"/>
    <x v="26"/>
    <n v="75000"/>
    <s v="Pembayaran Makan Minum Lapangan Malam"/>
  </r>
  <r>
    <n v="227"/>
    <x v="29"/>
    <s v="Senin"/>
    <x v="27"/>
    <n v="159000"/>
    <s v="Pembayaran Pembelian Peralatan Lapangan: MCB 2, KABEL AKI,TERMINAL, PITTING"/>
  </r>
  <r>
    <n v="228"/>
    <x v="29"/>
    <s v="Senin"/>
    <x v="22"/>
    <n v="150000"/>
    <s v="Pembayaran Biaya Perbaikan Instalasi Listrik Lapangan"/>
  </r>
  <r>
    <n v="229"/>
    <x v="29"/>
    <s v="Senin"/>
    <x v="64"/>
    <n v="5000"/>
    <s v="Pembayaran Admin Bank Setor Tunai"/>
  </r>
  <r>
    <n v="230"/>
    <x v="30"/>
    <s v="Selasa"/>
    <x v="6"/>
    <n v="400000"/>
    <s v="Pemabayaran Uang Harian Operator"/>
  </r>
  <r>
    <n v="231"/>
    <x v="30"/>
    <s v="Selasa"/>
    <x v="16"/>
    <n v="200000"/>
    <s v="Pemabayaran Uang Harian Checker"/>
  </r>
  <r>
    <n v="232"/>
    <x v="30"/>
    <s v="Selasa"/>
    <x v="52"/>
    <n v="400000"/>
    <s v="Pemabayaran Uang Harian Pengawas"/>
  </r>
  <r>
    <n v="233"/>
    <x v="30"/>
    <s v="Selasa"/>
    <x v="25"/>
    <n v="80000"/>
    <s v="Pemabayaran Makan Minum Lapangan Pagi"/>
  </r>
  <r>
    <n v="234"/>
    <x v="30"/>
    <s v="Selasa"/>
    <x v="26"/>
    <n v="80000"/>
    <s v="Pemabayaran Makan Minum Lapangan Malam"/>
  </r>
  <r>
    <n v="235"/>
    <x v="30"/>
    <s v="Selasa"/>
    <x v="53"/>
    <n v="75000"/>
    <s v="Pemabayaran BOP Warung"/>
  </r>
  <r>
    <n v="236"/>
    <x v="30"/>
    <s v="Selasa"/>
    <x v="27"/>
    <n v="895000"/>
    <s v="Pembayaran Pembelian Kawat Las, Sling, pin"/>
  </r>
  <r>
    <n v="237"/>
    <x v="31"/>
    <s v="Rabu"/>
    <x v="6"/>
    <n v="400000"/>
    <s v="Pembayaran Uang Harian Operator"/>
  </r>
  <r>
    <n v="238"/>
    <x v="31"/>
    <s v="Rabu"/>
    <x v="16"/>
    <n v="200000"/>
    <s v="Pembayaran Uang Harian Checker"/>
  </r>
  <r>
    <n v="239"/>
    <x v="31"/>
    <s v="Rabu"/>
    <x v="23"/>
    <n v="100000"/>
    <s v="Pembayaran Uang Harian Admin"/>
  </r>
  <r>
    <n v="240"/>
    <x v="31"/>
    <s v="Rabu"/>
    <x v="52"/>
    <n v="400000"/>
    <s v="Pembayaran Uang Harian Pengawas"/>
  </r>
  <r>
    <n v="241"/>
    <x v="31"/>
    <s v="Rabu"/>
    <x v="25"/>
    <n v="75000"/>
    <s v="Pembayaran Makan Minum Lapangan Pagi"/>
  </r>
  <r>
    <n v="242"/>
    <x v="31"/>
    <s v="Rabu"/>
    <x v="26"/>
    <n v="75000"/>
    <s v="Pembayaran Makan Minum Lapangan Malam"/>
  </r>
  <r>
    <n v="243"/>
    <x v="31"/>
    <s v="Rabu"/>
    <x v="27"/>
    <n v="240000"/>
    <s v="Pembayaran Belanja Peralatan Lapangan : Oksigen dan Ongkos Belanja"/>
  </r>
  <r>
    <n v="244"/>
    <x v="31"/>
    <s v="Rabu"/>
    <x v="65"/>
    <n v="5304000"/>
    <s v="Pembayaran Pinjaman Kas Batu Split : Anugrah Alam Indonesia Jaya"/>
  </r>
  <r>
    <n v="245"/>
    <x v="32"/>
    <s v="Kamis"/>
    <x v="6"/>
    <n v="400000"/>
    <s v="Pembayaran Uang  Harian Operator"/>
  </r>
  <r>
    <n v="246"/>
    <x v="32"/>
    <s v="Kamis"/>
    <x v="16"/>
    <n v="200000"/>
    <s v="Pembayaran Uang  Harian Checker"/>
  </r>
  <r>
    <n v="247"/>
    <x v="32"/>
    <s v="Kamis"/>
    <x v="52"/>
    <n v="400000"/>
    <s v="Pembayaran Uang  Harian Pengawas"/>
  </r>
  <r>
    <n v="248"/>
    <x v="32"/>
    <s v="Kamis"/>
    <x v="25"/>
    <n v="75000"/>
    <s v="Pembayaran Makan  Minum  Lapangan Pagi"/>
  </r>
  <r>
    <n v="249"/>
    <x v="32"/>
    <s v="Kamis"/>
    <x v="26"/>
    <n v="75000"/>
    <s v="Pembayaran Makan  Minum  Lapangan Malam"/>
  </r>
  <r>
    <n v="250"/>
    <x v="32"/>
    <s v="Kamis"/>
    <x v="27"/>
    <n v="40000"/>
    <s v="Pembayaran Pembelian  Peralatan Lapangan Senter Kepala"/>
  </r>
  <r>
    <n v="251"/>
    <x v="32"/>
    <s v="Kamis"/>
    <x v="53"/>
    <n v="50000"/>
    <s v="Pembayaran BOP  BOP Warung"/>
  </r>
  <r>
    <n v="252"/>
    <x v="32"/>
    <s v="Kamis"/>
    <x v="66"/>
    <n v="1500000"/>
    <s v="Pembayaran Biaya  Service  Lapangan Ayakan :Tukang Las"/>
  </r>
  <r>
    <n v="253"/>
    <x v="33"/>
    <s v="Jumat"/>
    <x v="6"/>
    <n v="400000"/>
    <s v="Pembayaran Uang Harian Operator"/>
  </r>
  <r>
    <n v="254"/>
    <x v="33"/>
    <s v="Jumat"/>
    <x v="16"/>
    <n v="200000"/>
    <s v="Pembayaran Uang Harian Checker"/>
  </r>
  <r>
    <n v="255"/>
    <x v="33"/>
    <s v="Jumat"/>
    <x v="52"/>
    <n v="400000"/>
    <s v="Pembayaran Uang Harian Pengawas"/>
  </r>
  <r>
    <n v="256"/>
    <x v="33"/>
    <s v="Jumat"/>
    <x v="25"/>
    <n v="75000"/>
    <s v="Pembayaran Makan Minum Lapangan Pagi"/>
  </r>
  <r>
    <n v="257"/>
    <x v="33"/>
    <s v="Jumat"/>
    <x v="26"/>
    <n v="75000"/>
    <s v="Pembayaran Makan Minum Lapangan Malam"/>
  </r>
  <r>
    <n v="258"/>
    <x v="33"/>
    <s v="Jumat"/>
    <x v="64"/>
    <n v="5000"/>
    <s v="Pembayaran Admin Bank Setor Tunai"/>
  </r>
  <r>
    <n v="259"/>
    <x v="33"/>
    <s v="Jumat"/>
    <x v="67"/>
    <n v="585000"/>
    <s v="Pembayaran CSR Masjid Semen"/>
  </r>
  <r>
    <n v="260"/>
    <x v="34"/>
    <s v="Sabtu"/>
    <x v="6"/>
    <n v="400000"/>
    <s v="Pembayaran Uang Harian Operator"/>
  </r>
  <r>
    <n v="261"/>
    <x v="34"/>
    <s v="Sabtu"/>
    <x v="16"/>
    <n v="200000"/>
    <s v="Pembayaran Uang Harian Checker"/>
  </r>
  <r>
    <n v="262"/>
    <x v="34"/>
    <s v="Sabtu"/>
    <x v="52"/>
    <n v="400000"/>
    <s v="Pembayaran Uang Harian Pengawas"/>
  </r>
  <r>
    <n v="263"/>
    <x v="34"/>
    <s v="Sabtu"/>
    <x v="25"/>
    <n v="80000"/>
    <s v="Pembayaran Makan Minum Lapangan Pagi"/>
  </r>
  <r>
    <n v="264"/>
    <x v="34"/>
    <s v="Sabtu"/>
    <x v="26"/>
    <n v="80000"/>
    <s v="Pembayaran Makan Minum Lapangan Malam"/>
  </r>
  <r>
    <n v="265"/>
    <x v="35"/>
    <s v="Minggu"/>
    <x v="6"/>
    <n v="400000"/>
    <s v="Pembayaran Uang Harian Operator"/>
  </r>
  <r>
    <n v="266"/>
    <x v="35"/>
    <s v="Minggu"/>
    <x v="16"/>
    <n v="200000"/>
    <s v="Pembayaran Uang Harian Checker"/>
  </r>
  <r>
    <n v="267"/>
    <x v="35"/>
    <s v="Minggu"/>
    <x v="52"/>
    <n v="400000"/>
    <s v="Pembayaran Uang Harian Pengawas"/>
  </r>
  <r>
    <n v="268"/>
    <x v="35"/>
    <s v="Minggu"/>
    <x v="25"/>
    <n v="75000"/>
    <s v="Pembayaran Makan Minum Lapangan Pagi"/>
  </r>
  <r>
    <n v="269"/>
    <x v="35"/>
    <s v="Minggu"/>
    <x v="26"/>
    <n v="75000"/>
    <s v="Pembayaran Makan Minum Lapangan Malam"/>
  </r>
  <r>
    <n v="270"/>
    <x v="35"/>
    <s v="Minggu"/>
    <x v="68"/>
    <n v="3000000"/>
    <s v="Pembayaran Pembelian BBM L"/>
  </r>
  <r>
    <n v="271"/>
    <x v="35"/>
    <s v="Minggu"/>
    <x v="27"/>
    <n v="500000"/>
    <s v="Pembayaran Belanja Peralatan Lapangan : 5 Las Kuku"/>
  </r>
  <r>
    <n v="272"/>
    <x v="36"/>
    <s v="Senin"/>
    <x v="6"/>
    <n v="400000"/>
    <s v="Pembayaran Uang Harian Operator"/>
  </r>
  <r>
    <n v="273"/>
    <x v="36"/>
    <s v="Senin"/>
    <x v="6"/>
    <n v="200000"/>
    <s v="Pembayaran Uang Harian Operator"/>
  </r>
  <r>
    <n v="274"/>
    <x v="36"/>
    <s v="Senin"/>
    <x v="16"/>
    <n v="200000"/>
    <s v="Pembayaran Uang Harian Checker"/>
  </r>
  <r>
    <n v="275"/>
    <x v="36"/>
    <s v="Senin"/>
    <x v="52"/>
    <n v="400000"/>
    <s v="Pembayaran Uang Harian Pengawas"/>
  </r>
  <r>
    <n v="276"/>
    <x v="36"/>
    <s v="Senin"/>
    <x v="25"/>
    <n v="75000"/>
    <s v="Pembayaran Makan Minum Lapangan Pagi"/>
  </r>
  <r>
    <n v="277"/>
    <x v="36"/>
    <s v="Senin"/>
    <x v="26"/>
    <n v="75000"/>
    <s v="Pembayaran Makan Minum Lapangan Malam"/>
  </r>
  <r>
    <n v="278"/>
    <x v="36"/>
    <s v="Senin"/>
    <x v="69"/>
    <n v="300000"/>
    <s v="Pembayaran Belanja Peralatan Lapangan Listrik"/>
  </r>
  <r>
    <n v="279"/>
    <x v="36"/>
    <s v="Senin"/>
    <x v="27"/>
    <n v="50000"/>
    <s v="Pembayaran Belanja Peralatan Lapangan : ATK"/>
  </r>
  <r>
    <n v="280"/>
    <x v="36"/>
    <s v="Senin"/>
    <x v="56"/>
    <n v="5000000"/>
    <s v="Pembayaran Pembelian BBM L"/>
  </r>
  <r>
    <n v="281"/>
    <x v="37"/>
    <s v="Selasa"/>
    <x v="6"/>
    <n v="200000"/>
    <s v="Pembayaran Uang Harian Operator"/>
  </r>
  <r>
    <n v="282"/>
    <x v="37"/>
    <s v="Selasa"/>
    <x v="6"/>
    <n v="200000"/>
    <s v="Pembayaran Uang Harian Operator"/>
  </r>
  <r>
    <n v="283"/>
    <x v="37"/>
    <s v="Selasa"/>
    <x v="16"/>
    <n v="200000"/>
    <s v="Pembayaran Uang Harian Checker"/>
  </r>
  <r>
    <n v="284"/>
    <x v="37"/>
    <s v="Selasa"/>
    <x v="52"/>
    <n v="400000"/>
    <s v="Pembayaran Uang Harian Pengawas"/>
  </r>
  <r>
    <n v="285"/>
    <x v="37"/>
    <s v="Selasa"/>
    <x v="27"/>
    <n v="1200000"/>
    <s v="Pembayaran Belanja Peralatan Lapangan : FilterMMH, FILTEKHH,FILTER DONALDSON"/>
  </r>
  <r>
    <n v="286"/>
    <x v="37"/>
    <s v="Selasa"/>
    <x v="27"/>
    <n v="20000"/>
    <s v="Pembayaran Belanja Peralatan Lapangan : Baut"/>
  </r>
  <r>
    <n v="287"/>
    <x v="37"/>
    <s v="Selasa"/>
    <x v="25"/>
    <n v="75000"/>
    <s v="Pembayaran Makan Minum Lapangan Pagi"/>
  </r>
  <r>
    <n v="288"/>
    <x v="37"/>
    <s v="Selasa"/>
    <x v="26"/>
    <n v="75000"/>
    <s v="Pembayaran Makan Minum Lapangan Malam"/>
  </r>
  <r>
    <n v="289"/>
    <x v="37"/>
    <s v="Selasa"/>
    <x v="43"/>
    <n v="5000000"/>
    <s v="Pembayaran Pembelian BBM 500L :H ifan"/>
  </r>
  <r>
    <n v="290"/>
    <x v="37"/>
    <s v="Selasa"/>
    <x v="64"/>
    <n v="15000"/>
    <s v="Pembayaran Admin Bank Setor Tuna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B1332-6F27-4F9F-A85A-9D0D42737CAD}" name="PivotTable4" cacheId="25" applyNumberFormats="0" applyBorderFormats="0" applyFontFormats="0" applyPatternFormats="0" applyAlignmentFormats="0" applyWidthHeightFormats="1" dataCaption="Nilai" updatedVersion="8" minRefreshableVersion="3" useAutoFormatting="1" itemPrintTitles="1" createdVersion="8" indent="0" outline="1" outlineData="1" multipleFieldFilters="0">
  <location ref="A3:B14" firstHeaderRow="1" firstDataRow="1" firstDataCol="1"/>
  <pivotFields count="8">
    <pivotField showAll="0"/>
    <pivotField numFmtId="14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showAll="0"/>
    <pivotField axis="axisRow" showAll="0">
      <items count="71">
        <item h="1" x="64"/>
        <item h="1" x="34"/>
        <item h="1" x="33"/>
        <item h="1" x="27"/>
        <item h="1" x="69"/>
        <item h="1" x="46"/>
        <item h="1" x="28"/>
        <item h="1" x="47"/>
        <item h="1" x="45"/>
        <item h="1" x="32"/>
        <item h="1" x="50"/>
        <item h="1" x="40"/>
        <item h="1" x="57"/>
        <item h="1" x="42"/>
        <item h="1" x="17"/>
        <item h="1" x="51"/>
        <item h="1" x="61"/>
        <item h="1" x="31"/>
        <item h="1" x="54"/>
        <item h="1" x="37"/>
        <item h="1" x="38"/>
        <item h="1" x="53"/>
        <item h="1" x="67"/>
        <item h="1" x="66"/>
        <item h="1" x="22"/>
        <item h="1" x="8"/>
        <item h="1" x="21"/>
        <item h="1" x="20"/>
        <item h="1" x="44"/>
        <item h="1" x="26"/>
        <item h="1" x="25"/>
        <item h="1" x="55"/>
        <item h="1" x="63"/>
        <item h="1" x="62"/>
        <item h="1" x="59"/>
        <item h="1" x="58"/>
        <item h="1" x="60"/>
        <item h="1" x="49"/>
        <item h="1" x="30"/>
        <item h="1" x="41"/>
        <item h="1" x="39"/>
        <item h="1" x="68"/>
        <item h="1" x="36"/>
        <item h="1" x="43"/>
        <item h="1" x="56"/>
        <item h="1" x="29"/>
        <item h="1" x="48"/>
        <item h="1" x="9"/>
        <item h="1" x="10"/>
        <item h="1" x="5"/>
        <item h="1" x="65"/>
        <item h="1" x="3"/>
        <item h="1" x="15"/>
        <item h="1" x="19"/>
        <item h="1" x="11"/>
        <item h="1" x="12"/>
        <item h="1" x="4"/>
        <item h="1" x="2"/>
        <item h="1" x="0"/>
        <item h="1" x="1"/>
        <item x="23"/>
        <item x="16"/>
        <item x="13"/>
        <item x="14"/>
        <item x="7"/>
        <item x="35"/>
        <item x="6"/>
        <item x="52"/>
        <item x="18"/>
        <item x="24"/>
        <item t="default"/>
      </items>
    </pivotField>
    <pivotField dataField="1"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1"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 t="grand">
      <x/>
    </i>
  </rowItems>
  <colItems count="1">
    <i/>
  </colItems>
  <dataFields count="1">
    <dataField name="Jumlah dari TOTAL BAYAR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87F4BF-A027-42CA-B160-3ACD8A5929B3}" name="PivotTable5" cacheId="25" applyNumberFormats="0" applyBorderFormats="0" applyFontFormats="0" applyPatternFormats="0" applyAlignmentFormats="0" applyWidthHeightFormats="1" dataCaption="Nilai" updatedVersion="8" minRefreshableVersion="3" useAutoFormatting="1" itemPrintTitles="1" createdVersion="8" indent="0" outline="1" outlineData="1" multipleFieldFilters="0">
  <location ref="A3:B15" firstHeaderRow="1" firstDataRow="1" firstDataCol="1"/>
  <pivotFields count="8">
    <pivotField showAll="0"/>
    <pivotField numFmtId="14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showAll="0"/>
    <pivotField axis="axisRow" showAll="0">
      <items count="71">
        <item h="1" x="64"/>
        <item h="1" x="34"/>
        <item h="1" x="33"/>
        <item h="1" x="27"/>
        <item h="1" x="69"/>
        <item h="1" x="46"/>
        <item h="1" x="28"/>
        <item h="1" x="47"/>
        <item h="1" x="45"/>
        <item h="1" x="32"/>
        <item h="1" x="50"/>
        <item h="1" x="40"/>
        <item h="1" x="57"/>
        <item h="1" x="42"/>
        <item h="1" x="17"/>
        <item h="1" x="51"/>
        <item h="1" x="61"/>
        <item x="31"/>
        <item x="54"/>
        <item h="1" x="37"/>
        <item h="1" x="38"/>
        <item x="53"/>
        <item h="1" x="67"/>
        <item h="1" x="66"/>
        <item h="1" x="22"/>
        <item x="8"/>
        <item x="21"/>
        <item x="20"/>
        <item x="44"/>
        <item x="26"/>
        <item x="25"/>
        <item x="55"/>
        <item x="63"/>
        <item h="1" x="62"/>
        <item h="1" x="59"/>
        <item h="1" x="58"/>
        <item h="1" x="60"/>
        <item h="1" x="49"/>
        <item h="1" x="30"/>
        <item h="1" x="41"/>
        <item h="1" x="39"/>
        <item h="1" x="68"/>
        <item h="1" x="36"/>
        <item h="1" x="43"/>
        <item h="1" x="56"/>
        <item h="1" x="29"/>
        <item h="1" x="48"/>
        <item h="1" x="9"/>
        <item h="1" x="10"/>
        <item h="1" x="5"/>
        <item h="1" x="65"/>
        <item h="1" x="3"/>
        <item h="1" x="15"/>
        <item h="1" x="19"/>
        <item h="1" x="11"/>
        <item h="1" x="12"/>
        <item h="1" x="4"/>
        <item h="1" x="2"/>
        <item h="1" x="0"/>
        <item h="1" x="1"/>
        <item h="1" x="23"/>
        <item h="1" x="16"/>
        <item h="1" x="13"/>
        <item h="1" x="14"/>
        <item h="1" x="7"/>
        <item h="1" x="35"/>
        <item h="1" x="6"/>
        <item h="1" x="52"/>
        <item h="1" x="18"/>
        <item h="1" x="24"/>
        <item t="default"/>
      </items>
    </pivotField>
    <pivotField dataField="1"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2">
    <i>
      <x v="17"/>
    </i>
    <i>
      <x v="18"/>
    </i>
    <i>
      <x v="21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Jumlah dari TOTAL BAYAR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3B5CBA-FD7B-4407-95DD-D21A89DBCAE5}" name="PivotTable6" cacheId="25" applyNumberFormats="0" applyBorderFormats="0" applyFontFormats="0" applyPatternFormats="0" applyAlignmentFormats="0" applyWidthHeightFormats="1" dataCaption="Nilai" updatedVersion="8" minRefreshableVersion="3" useAutoFormatting="1" itemPrintTitles="1" createdVersion="8" indent="0" outline="1" outlineData="1" multipleFieldFilters="0">
  <location ref="A3:B14" firstHeaderRow="1" firstDataRow="1" firstDataCol="1"/>
  <pivotFields count="8">
    <pivotField showAll="0"/>
    <pivotField numFmtId="14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showAll="0"/>
    <pivotField axis="axisRow" showAll="0">
      <items count="71">
        <item h="1" x="64"/>
        <item x="34"/>
        <item x="33"/>
        <item x="27"/>
        <item x="69"/>
        <item x="46"/>
        <item x="28"/>
        <item x="47"/>
        <item x="45"/>
        <item x="32"/>
        <item x="50"/>
        <item h="1" x="40"/>
        <item h="1" x="57"/>
        <item h="1" x="42"/>
        <item h="1" x="17"/>
        <item h="1" x="51"/>
        <item h="1" x="61"/>
        <item h="1" x="31"/>
        <item h="1" x="54"/>
        <item h="1" x="37"/>
        <item h="1" x="38"/>
        <item h="1" x="53"/>
        <item h="1" x="67"/>
        <item h="1" x="66"/>
        <item h="1" x="22"/>
        <item h="1" x="8"/>
        <item h="1" x="21"/>
        <item h="1" x="20"/>
        <item h="1" x="44"/>
        <item h="1" x="26"/>
        <item h="1" x="25"/>
        <item h="1" x="55"/>
        <item h="1" x="63"/>
        <item h="1" x="62"/>
        <item h="1" x="59"/>
        <item h="1" x="58"/>
        <item h="1" x="60"/>
        <item h="1" x="49"/>
        <item h="1" x="30"/>
        <item h="1" x="41"/>
        <item h="1" x="39"/>
        <item h="1" x="68"/>
        <item h="1" x="36"/>
        <item h="1" x="43"/>
        <item h="1" x="56"/>
        <item h="1" x="29"/>
        <item h="1" x="48"/>
        <item h="1" x="9"/>
        <item h="1" x="10"/>
        <item h="1" x="5"/>
        <item h="1" x="65"/>
        <item h="1" x="3"/>
        <item h="1" x="15"/>
        <item h="1" x="19"/>
        <item h="1" x="11"/>
        <item h="1" x="12"/>
        <item h="1" x="4"/>
        <item h="1" x="2"/>
        <item h="1" x="0"/>
        <item h="1" x="1"/>
        <item h="1" x="23"/>
        <item h="1" x="16"/>
        <item h="1" x="13"/>
        <item h="1" x="14"/>
        <item h="1" x="7"/>
        <item h="1" x="35"/>
        <item h="1" x="6"/>
        <item h="1" x="52"/>
        <item h="1" x="18"/>
        <item h="1" x="24"/>
        <item t="default"/>
      </items>
    </pivotField>
    <pivotField dataField="1"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Jumlah dari TOTAL BAYAR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6B69BC-4148-4052-B9F2-994FAFF4D9E0}" name="PivotTable7" cacheId="25" applyNumberFormats="0" applyBorderFormats="0" applyFontFormats="0" applyPatternFormats="0" applyAlignmentFormats="0" applyWidthHeightFormats="1" dataCaption="Nilai" updatedVersion="8" minRefreshableVersion="3" useAutoFormatting="1" itemPrintTitles="1" createdVersion="8" indent="0" outline="1" outlineData="1" multipleFieldFilters="0">
  <location ref="A3:B17" firstHeaderRow="1" firstDataRow="1" firstDataCol="1"/>
  <pivotFields count="8">
    <pivotField showAll="0"/>
    <pivotField numFmtId="14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showAll="0"/>
    <pivotField axis="axisRow" showAll="0">
      <items count="71">
        <item h="1" x="64"/>
        <item h="1" x="34"/>
        <item h="1" x="33"/>
        <item h="1" x="27"/>
        <item h="1" x="69"/>
        <item h="1" x="46"/>
        <item h="1" x="28"/>
        <item h="1" x="47"/>
        <item h="1" x="45"/>
        <item h="1" x="32"/>
        <item h="1" x="50"/>
        <item h="1" x="40"/>
        <item h="1" x="57"/>
        <item h="1" x="42"/>
        <item h="1" x="17"/>
        <item h="1" x="51"/>
        <item h="1" x="61"/>
        <item h="1" x="31"/>
        <item h="1" x="54"/>
        <item h="1" x="37"/>
        <item h="1" x="38"/>
        <item h="1" x="53"/>
        <item h="1" x="67"/>
        <item h="1" x="66"/>
        <item h="1" x="22"/>
        <item h="1" x="8"/>
        <item h="1" x="21"/>
        <item h="1" x="20"/>
        <item h="1" x="44"/>
        <item h="1" x="26"/>
        <item h="1" x="25"/>
        <item h="1" x="55"/>
        <item h="1" x="63"/>
        <item h="1" x="62"/>
        <item h="1" x="59"/>
        <item h="1" x="58"/>
        <item h="1" x="60"/>
        <item h="1" x="49"/>
        <item h="1" x="30"/>
        <item h="1" x="41"/>
        <item h="1" x="39"/>
        <item h="1" x="68"/>
        <item h="1" x="36"/>
        <item h="1" x="43"/>
        <item h="1" x="56"/>
        <item h="1" x="29"/>
        <item h="1" x="48"/>
        <item x="9"/>
        <item x="10"/>
        <item x="5"/>
        <item x="65"/>
        <item x="3"/>
        <item x="15"/>
        <item x="19"/>
        <item x="11"/>
        <item x="12"/>
        <item x="4"/>
        <item x="2"/>
        <item x="0"/>
        <item x="1"/>
        <item h="1" x="23"/>
        <item h="1" x="16"/>
        <item h="1" x="13"/>
        <item h="1" x="14"/>
        <item h="1" x="7"/>
        <item h="1" x="35"/>
        <item h="1" x="6"/>
        <item h="1" x="52"/>
        <item h="1" x="18"/>
        <item h="1" x="24"/>
        <item t="default"/>
      </items>
    </pivotField>
    <pivotField dataField="1"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4"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Items count="1">
    <i/>
  </colItems>
  <dataFields count="1">
    <dataField name="Jumlah dari TOTAL BAYAR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1AD6D-E6EC-43AB-8468-1E5FC8480249}" name="PivotTable8" cacheId="25" applyNumberFormats="0" applyBorderFormats="0" applyFontFormats="0" applyPatternFormats="0" applyAlignmentFormats="0" applyWidthHeightFormats="1" dataCaption="Nilai" updatedVersion="8" minRefreshableVersion="3" useAutoFormatting="1" itemPrintTitles="1" createdVersion="8" indent="0" outline="1" outlineData="1" multipleFieldFilters="0">
  <location ref="A3:B16" firstHeaderRow="1" firstDataRow="1" firstDataCol="1"/>
  <pivotFields count="8">
    <pivotField showAll="0"/>
    <pivotField numFmtId="14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showAll="0"/>
    <pivotField axis="axisRow" showAll="0">
      <items count="71">
        <item h="1" x="64"/>
        <item h="1" x="34"/>
        <item h="1" x="33"/>
        <item h="1" x="27"/>
        <item h="1" x="69"/>
        <item h="1" x="46"/>
        <item h="1" x="28"/>
        <item h="1" x="47"/>
        <item h="1" x="45"/>
        <item h="1" x="32"/>
        <item h="1" x="50"/>
        <item h="1" x="40"/>
        <item h="1" x="57"/>
        <item h="1" x="42"/>
        <item x="17"/>
        <item h="1" x="51"/>
        <item h="1" x="61"/>
        <item h="1" x="31"/>
        <item h="1" x="54"/>
        <item h="1" x="37"/>
        <item h="1" x="38"/>
        <item h="1" x="53"/>
        <item h="1" x="67"/>
        <item h="1" x="66"/>
        <item h="1" x="22"/>
        <item h="1" x="8"/>
        <item h="1" x="21"/>
        <item h="1" x="20"/>
        <item h="1" x="44"/>
        <item h="1" x="26"/>
        <item h="1" x="25"/>
        <item h="1" x="55"/>
        <item h="1" x="63"/>
        <item x="62"/>
        <item h="1" x="59"/>
        <item h="1" x="58"/>
        <item h="1" x="60"/>
        <item h="1" x="49"/>
        <item x="30"/>
        <item x="41"/>
        <item x="39"/>
        <item x="68"/>
        <item x="36"/>
        <item x="43"/>
        <item x="56"/>
        <item x="29"/>
        <item x="48"/>
        <item h="1" x="9"/>
        <item h="1" x="10"/>
        <item x="5"/>
        <item h="1" x="65"/>
        <item h="1" x="3"/>
        <item h="1" x="15"/>
        <item h="1" x="19"/>
        <item h="1" x="11"/>
        <item h="1" x="12"/>
        <item h="1" x="4"/>
        <item h="1" x="2"/>
        <item h="1" x="0"/>
        <item h="1" x="1"/>
        <item h="1" x="23"/>
        <item h="1" x="16"/>
        <item h="1" x="13"/>
        <item h="1" x="14"/>
        <item h="1" x="7"/>
        <item h="1" x="35"/>
        <item h="1" x="6"/>
        <item h="1" x="52"/>
        <item h="1" x="18"/>
        <item h="1" x="24"/>
        <item t="default"/>
      </items>
    </pivotField>
    <pivotField dataField="1"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3">
    <i>
      <x v="14"/>
    </i>
    <i>
      <x v="33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9"/>
    </i>
    <i t="grand">
      <x/>
    </i>
  </rowItems>
  <colItems count="1">
    <i/>
  </colItems>
  <dataFields count="1">
    <dataField name="Jumlah dari TOTAL BAYAR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83B867-EA9D-42AE-9E07-CF7FA1CA87FB}" name="PivotTable9" cacheId="25" applyNumberFormats="0" applyBorderFormats="0" applyFontFormats="0" applyPatternFormats="0" applyAlignmentFormats="0" applyWidthHeightFormats="1" dataCaption="Nilai" updatedVersion="8" minRefreshableVersion="3" useAutoFormatting="1" itemPrintTitles="1" createdVersion="8" indent="0" outline="1" outlineData="1" multipleFieldFilters="0">
  <location ref="A3:B5" firstHeaderRow="1" firstDataRow="1" firstDataCol="1"/>
  <pivotFields count="8">
    <pivotField showAll="0"/>
    <pivotField numFmtId="14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showAll="0"/>
    <pivotField axis="axisRow" showAll="0" sortType="ascending">
      <items count="71">
        <item h="1" x="64"/>
        <item h="1" x="34"/>
        <item h="1" x="33"/>
        <item h="1" x="27"/>
        <item h="1" x="69"/>
        <item h="1" x="46"/>
        <item h="1" x="28"/>
        <item h="1" x="47"/>
        <item h="1" x="45"/>
        <item h="1" x="32"/>
        <item h="1" x="50"/>
        <item h="1" x="40"/>
        <item h="1" x="57"/>
        <item h="1" x="42"/>
        <item h="1" x="17"/>
        <item h="1" x="51"/>
        <item h="1" x="61"/>
        <item h="1" x="31"/>
        <item h="1" x="54"/>
        <item h="1" x="37"/>
        <item h="1" x="38"/>
        <item h="1" x="53"/>
        <item h="1" x="67"/>
        <item h="1" x="66"/>
        <item h="1" x="22"/>
        <item h="1" x="8"/>
        <item h="1" x="21"/>
        <item h="1" x="20"/>
        <item h="1" x="44"/>
        <item h="1" x="26"/>
        <item h="1" x="25"/>
        <item h="1" x="55"/>
        <item h="1" x="63"/>
        <item h="1" x="62"/>
        <item h="1" x="59"/>
        <item h="1" x="58"/>
        <item h="1" x="60"/>
        <item x="49"/>
        <item h="1" x="30"/>
        <item h="1" x="41"/>
        <item h="1" x="39"/>
        <item h="1" x="68"/>
        <item h="1" x="36"/>
        <item h="1" x="43"/>
        <item h="1" x="56"/>
        <item h="1" x="29"/>
        <item h="1" x="48"/>
        <item h="1" x="9"/>
        <item h="1" x="10"/>
        <item h="1" x="5"/>
        <item h="1" x="65"/>
        <item h="1" x="3"/>
        <item h="1" x="15"/>
        <item h="1" x="19"/>
        <item h="1" x="11"/>
        <item h="1" x="12"/>
        <item h="1" x="4"/>
        <item h="1" x="2"/>
        <item h="1" x="0"/>
        <item h="1" x="1"/>
        <item h="1" x="23"/>
        <item h="1" x="16"/>
        <item h="1" x="13"/>
        <item h="1" x="14"/>
        <item h="1" x="7"/>
        <item h="1" x="35"/>
        <item h="1" x="6"/>
        <item h="1" x="52"/>
        <item h="1" x="18"/>
        <item h="1" x="24"/>
        <item t="default"/>
      </items>
    </pivotField>
    <pivotField dataField="1"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2">
    <i>
      <x v="37"/>
    </i>
    <i t="grand">
      <x/>
    </i>
  </rowItems>
  <colItems count="1">
    <i/>
  </colItems>
  <dataFields count="1">
    <dataField name="Jumlah dari TOTAL BAYAR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6679E8-7325-41A3-81C6-82F2F7899CEE}" name="PivotTable10" cacheId="25" applyNumberFormats="0" applyBorderFormats="0" applyFontFormats="0" applyPatternFormats="0" applyAlignmentFormats="0" applyWidthHeightFormats="1" dataCaption="Nilai" updatedVersion="8" minRefreshableVersion="3" useAutoFormatting="1" itemPrintTitles="1" createdVersion="8" indent="0" outline="1" outlineData="1" multipleFieldFilters="0">
  <location ref="A3:B18" firstHeaderRow="1" firstDataRow="1" firstDataCol="1"/>
  <pivotFields count="8">
    <pivotField showAll="0"/>
    <pivotField numFmtId="14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showAll="0"/>
    <pivotField axis="axisRow" showAll="0">
      <items count="71">
        <item x="64"/>
        <item h="1" x="34"/>
        <item h="1" x="33"/>
        <item h="1" x="27"/>
        <item h="1" x="69"/>
        <item h="1" x="46"/>
        <item h="1" x="28"/>
        <item h="1" x="47"/>
        <item h="1" x="45"/>
        <item h="1" x="32"/>
        <item h="1" x="50"/>
        <item x="40"/>
        <item x="57"/>
        <item x="42"/>
        <item h="1" x="17"/>
        <item x="51"/>
        <item x="61"/>
        <item h="1" x="31"/>
        <item h="1" x="54"/>
        <item x="37"/>
        <item x="38"/>
        <item h="1" x="53"/>
        <item x="67"/>
        <item x="66"/>
        <item x="22"/>
        <item h="1" x="8"/>
        <item h="1" x="21"/>
        <item h="1" x="20"/>
        <item h="1" x="44"/>
        <item h="1" x="26"/>
        <item h="1" x="25"/>
        <item h="1" x="55"/>
        <item h="1" x="63"/>
        <item h="1" x="62"/>
        <item x="59"/>
        <item x="58"/>
        <item x="60"/>
        <item h="1" x="49"/>
        <item h="1" x="30"/>
        <item h="1" x="41"/>
        <item h="1" x="39"/>
        <item h="1" x="68"/>
        <item h="1" x="36"/>
        <item h="1" x="43"/>
        <item h="1" x="56"/>
        <item h="1" x="29"/>
        <item h="1" x="48"/>
        <item h="1" x="9"/>
        <item h="1" x="10"/>
        <item h="1" x="5"/>
        <item h="1" x="65"/>
        <item h="1" x="3"/>
        <item h="1" x="15"/>
        <item h="1" x="19"/>
        <item h="1" x="11"/>
        <item h="1" x="12"/>
        <item h="1" x="4"/>
        <item h="1" x="2"/>
        <item h="1" x="0"/>
        <item h="1" x="1"/>
        <item h="1" x="23"/>
        <item h="1" x="16"/>
        <item h="1" x="13"/>
        <item h="1" x="14"/>
        <item h="1" x="7"/>
        <item h="1" x="35"/>
        <item h="1" x="6"/>
        <item h="1" x="52"/>
        <item h="1" x="18"/>
        <item h="1" x="24"/>
        <item t="default"/>
      </items>
    </pivotField>
    <pivotField dataField="1"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5">
    <i>
      <x/>
    </i>
    <i>
      <x v="11"/>
    </i>
    <i>
      <x v="12"/>
    </i>
    <i>
      <x v="13"/>
    </i>
    <i>
      <x v="15"/>
    </i>
    <i>
      <x v="16"/>
    </i>
    <i>
      <x v="19"/>
    </i>
    <i>
      <x v="20"/>
    </i>
    <i>
      <x v="22"/>
    </i>
    <i>
      <x v="23"/>
    </i>
    <i>
      <x v="24"/>
    </i>
    <i>
      <x v="34"/>
    </i>
    <i>
      <x v="35"/>
    </i>
    <i>
      <x v="36"/>
    </i>
    <i t="grand">
      <x/>
    </i>
  </rowItems>
  <colItems count="1">
    <i/>
  </colItems>
  <dataFields count="1">
    <dataField name="Jumlah dari TOTAL BAYAR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6FE4AF-C4FE-488A-8F69-2755039C8B09}" name="Tabel2" displayName="Tabel2" ref="B9:H54" totalsRowShown="0" headerRowDxfId="14">
  <autoFilter ref="B9:H54" xr:uid="{1E6FE4AF-C4FE-488A-8F69-2755039C8B09}"/>
  <tableColumns count="7">
    <tableColumn id="1" xr3:uid="{67D368CB-BC8E-47AF-B2B3-B496C4CF4213}" name="NO"/>
    <tableColumn id="2" xr3:uid="{BC41062D-896E-4E83-8260-E88BF5F44E66}" name="TANGGAL"/>
    <tableColumn id="3" xr3:uid="{965E2176-6F30-431F-85E9-B5C33A7A6C7D}" name="HARI ">
      <calculatedColumnFormula>IF(Tabel2[[#This Row],[TANGGAL]]="","",TEXT(Tabel2[[#This Row],[TANGGAL]],"DDDD"))</calculatedColumnFormula>
    </tableColumn>
    <tableColumn id="4" xr3:uid="{544F40FC-4CD5-49EA-B13B-2D23596E9F0E}" name="NAMA BARANG"/>
    <tableColumn id="5" xr3:uid="{A3343BAD-0B06-4C78-A510-42BB7F71FC77}" name="JUMLAH" dataDxfId="13"/>
    <tableColumn id="6" xr3:uid="{5D9FA51D-E195-4C8C-ABB3-823ADD54ACC1}" name="HARGA" dataDxfId="12"/>
    <tableColumn id="7" xr3:uid="{02D37F85-436D-4ABA-84F0-A48B27431438}" name="TOTAL BAYAR" dataDxfId="11">
      <calculatedColumnFormula>Tabel2[[#This Row],[JUMLAH]]*Tabel2[[#This Row],[HARGA]]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4D0011-4D60-4D08-95CB-2AE1C7C53B76}" name="Tabel1" displayName="Tabel1" ref="J9:P30" totalsRowShown="0">
  <autoFilter ref="J9:P30" xr:uid="{764D0011-4D60-4D08-95CB-2AE1C7C53B76}"/>
  <tableColumns count="7">
    <tableColumn id="1" xr3:uid="{711C6369-4EA7-47F2-9132-B06D110980F1}" name="NO"/>
    <tableColumn id="2" xr3:uid="{CF8BF11B-AD4D-4972-A689-41CF642A8BFF}" name="TANGGAL"/>
    <tableColumn id="3" xr3:uid="{3A5104CB-2F7C-4157-A010-15AA1AA8236C}" name="HARI">
      <calculatedColumnFormula>IF(Tabel1[[#This Row],[TANGGAL]]="","",TEXT(Tabel1[[#This Row],[TANGGAL]],"DDDD"))</calculatedColumnFormula>
    </tableColumn>
    <tableColumn id="4" xr3:uid="{7FC28A3F-6B6A-4610-8644-9E9945225A67}" name="NAMA BARANG"/>
    <tableColumn id="5" xr3:uid="{E0746102-9703-49C8-9184-7F884DC5DE5B}" name="JUMLAH"/>
    <tableColumn id="6" xr3:uid="{C128B357-4167-469A-A110-86C747BA36DE}" name="HARGA" dataDxfId="10"/>
    <tableColumn id="7" xr3:uid="{CFD18A3F-D97C-4236-A3B3-6A345176C2B8}" name="TOTAL BAYAR" dataDxfId="9">
      <calculatedColumnFormula>Tabel1[[#This Row],[HARGA]]*Tabel1[[#This Row],[JUMLAH]]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89D6D6-1036-4392-A389-2C15EC5CF2FB}" name="Tabel16" displayName="Tabel16" ref="A11:G32" totalsRowShown="0">
  <autoFilter ref="A11:G32" xr:uid="{0389D6D6-1036-4392-A389-2C15EC5CF2FB}"/>
  <tableColumns count="7">
    <tableColumn id="1" xr3:uid="{FE32C61F-03EA-4E9F-8B8C-6D066E0847EB}" name="NO"/>
    <tableColumn id="2" xr3:uid="{9C71B2B0-F2A8-4B8C-85ED-F1EC42F4321A}" name="TANGGAL"/>
    <tableColumn id="3" xr3:uid="{3E8AEB5E-5DA0-4B98-9C60-BF529D91B583}" name="HARI">
      <calculatedColumnFormula>IF(Tabel16[[#This Row],[TANGGAL]]="","",TEXT(Tabel16[[#This Row],[TANGGAL]],"DDDD"))</calculatedColumnFormula>
    </tableColumn>
    <tableColumn id="4" xr3:uid="{C208E176-F18A-4FAE-88D9-E4ED2AC07237}" name="NAMA BARANG"/>
    <tableColumn id="5" xr3:uid="{7311815D-9357-4D85-BB99-428FA809945D}" name="JUMLAH"/>
    <tableColumn id="6" xr3:uid="{6696FB23-F6AC-43E0-BF0A-BBB33720637E}" name="HARGA" dataDxfId="1"/>
    <tableColumn id="7" xr3:uid="{E4B91490-C11D-4E96-B61B-1A2C48B26B17}" name="TOTAL BAYAR" dataDxfId="0">
      <calculatedColumnFormula>Tabel16[[#This Row],[HARGA]]*Tabel16[[#This Row],[JUMLAH]]</calculatedColumnFormula>
    </tableColumn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C7BFAB-940D-4734-9351-FF6F5BD7D680}" name="Tabel3" displayName="Tabel3" ref="B6:G308" totalsRowShown="0" headerRowDxfId="8">
  <autoFilter ref="B6:G308" xr:uid="{53C7BFAB-940D-4734-9351-FF6F5BD7D680}"/>
  <tableColumns count="6">
    <tableColumn id="1" xr3:uid="{0ACA47A2-8CB6-4623-8284-68892E8854D3}" name="NO " dataDxfId="7"/>
    <tableColumn id="2" xr3:uid="{C0C2C901-66E3-4805-ABB7-FD07DCD6373B}" name="TANGGAL " dataDxfId="6"/>
    <tableColumn id="3" xr3:uid="{AC019E32-BC4F-4FE8-8F63-897F7D793A78}" name="HARI " dataDxfId="5">
      <calculatedColumnFormula>IF(Tabel3[[#This Row],[TANGGAL ]]="","",TEXT(Tabel3[[#This Row],[TANGGAL ]],"DDDD"))</calculatedColumnFormula>
    </tableColumn>
    <tableColumn id="4" xr3:uid="{39881D45-F430-4CBD-AD36-B3E5D6FC9A43}" name="KETERANGAN " dataDxfId="4"/>
    <tableColumn id="5" xr3:uid="{C5FBC5B1-ED53-4A60-993D-37A50DD6E4D2}" name="TOTAL BAYAR" dataDxfId="3"/>
    <tableColumn id="6" xr3:uid="{AF5C5CE6-01D4-42DB-9088-7E8518E0F9A9}" name="DESKRIPSI" dataDxfId="2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D51FD-C4B0-4687-80F7-79F21BE9E11E}">
  <dimension ref="B1:P54"/>
  <sheetViews>
    <sheetView topLeftCell="A24" zoomScale="65" zoomScaleNormal="80" workbookViewId="0">
      <selection activeCell="Q17" sqref="Q16:Q17"/>
    </sheetView>
  </sheetViews>
  <sheetFormatPr defaultRowHeight="14.5" x14ac:dyDescent="0.35"/>
  <cols>
    <col min="2" max="2" width="8.7265625" customWidth="1"/>
    <col min="3" max="3" width="14.90625" customWidth="1"/>
    <col min="4" max="4" width="21" customWidth="1"/>
    <col min="5" max="5" width="19.36328125" customWidth="1"/>
    <col min="6" max="6" width="15.26953125" style="4" customWidth="1"/>
    <col min="7" max="7" width="23" style="2" customWidth="1"/>
    <col min="8" max="8" width="23.08984375" style="2" customWidth="1"/>
    <col min="10" max="10" width="8.1796875" customWidth="1"/>
    <col min="11" max="11" width="15" customWidth="1"/>
    <col min="12" max="12" width="21.81640625" customWidth="1"/>
    <col min="13" max="13" width="20" customWidth="1"/>
    <col min="14" max="14" width="17.453125" customWidth="1"/>
    <col min="15" max="15" width="23.1796875" style="2" customWidth="1"/>
    <col min="16" max="16" width="23.6328125" style="2" customWidth="1"/>
  </cols>
  <sheetData>
    <row r="1" spans="2:16" ht="15.5" customHeight="1" thickTop="1" x14ac:dyDescent="0.35">
      <c r="B1" s="20" t="s">
        <v>11</v>
      </c>
      <c r="C1" s="20"/>
      <c r="D1" s="20"/>
      <c r="F1" s="23" t="s">
        <v>12</v>
      </c>
      <c r="G1" s="23"/>
      <c r="H1" s="23"/>
      <c r="J1" s="40" t="s">
        <v>11</v>
      </c>
      <c r="K1" s="41"/>
      <c r="L1" s="41"/>
      <c r="M1" s="41"/>
      <c r="N1" s="42"/>
    </row>
    <row r="2" spans="2:16" ht="15.5" customHeight="1" thickBot="1" x14ac:dyDescent="0.4">
      <c r="B2" s="20"/>
      <c r="C2" s="20"/>
      <c r="D2" s="20"/>
      <c r="F2" s="24"/>
      <c r="G2" s="24"/>
      <c r="H2" s="24"/>
      <c r="J2" s="43"/>
      <c r="K2" s="44"/>
      <c r="L2" s="44"/>
      <c r="M2" s="44"/>
      <c r="N2" s="45"/>
    </row>
    <row r="3" spans="2:16" ht="15.5" thickTop="1" thickBot="1" x14ac:dyDescent="0.4">
      <c r="B3" s="21" t="s">
        <v>100</v>
      </c>
      <c r="C3" s="22"/>
      <c r="D3" s="3" t="s">
        <v>10</v>
      </c>
      <c r="F3" s="25" t="s">
        <v>13</v>
      </c>
      <c r="G3" s="26"/>
      <c r="H3" s="27"/>
      <c r="J3" s="19" t="s">
        <v>102</v>
      </c>
      <c r="K3" s="19"/>
      <c r="L3" s="13" t="s">
        <v>10</v>
      </c>
      <c r="M3" s="46" t="s">
        <v>143</v>
      </c>
      <c r="N3" s="47"/>
    </row>
    <row r="4" spans="2:16" ht="15.5" thickTop="1" thickBot="1" x14ac:dyDescent="0.4">
      <c r="B4" s="34">
        <f>SUM(Tabel2[JUMLAH])</f>
        <v>264</v>
      </c>
      <c r="C4" s="35"/>
      <c r="D4" s="38">
        <f>SUM(H10:H54)</f>
        <v>266645000</v>
      </c>
      <c r="F4" s="28"/>
      <c r="G4" s="29"/>
      <c r="H4" s="30"/>
      <c r="J4" s="17">
        <f>SUM(P10:P30)</f>
        <v>53760000</v>
      </c>
      <c r="K4" s="18"/>
      <c r="L4" s="19">
        <f>SUM(N10:N30)</f>
        <v>192</v>
      </c>
      <c r="M4" s="19">
        <f>L4/4</f>
        <v>48</v>
      </c>
      <c r="N4" s="19"/>
    </row>
    <row r="5" spans="2:16" ht="15.5" thickTop="1" thickBot="1" x14ac:dyDescent="0.4">
      <c r="B5" s="36"/>
      <c r="C5" s="37"/>
      <c r="D5" s="39"/>
      <c r="F5" s="31"/>
      <c r="G5" s="32"/>
      <c r="H5" s="33"/>
      <c r="J5" s="18"/>
      <c r="K5" s="18"/>
      <c r="L5" s="18"/>
      <c r="M5" s="19"/>
      <c r="N5" s="19"/>
    </row>
    <row r="6" spans="2:16" ht="15" thickTop="1" x14ac:dyDescent="0.35"/>
    <row r="9" spans="2:16" x14ac:dyDescent="0.35">
      <c r="B9" s="4" t="s">
        <v>2</v>
      </c>
      <c r="C9" s="4" t="s">
        <v>0</v>
      </c>
      <c r="D9" s="4" t="s">
        <v>14</v>
      </c>
      <c r="E9" s="4" t="s">
        <v>15</v>
      </c>
      <c r="F9" s="4" t="s">
        <v>10</v>
      </c>
      <c r="G9" s="5" t="s">
        <v>16</v>
      </c>
      <c r="H9" s="5" t="s">
        <v>4</v>
      </c>
      <c r="J9" s="11" t="s">
        <v>2</v>
      </c>
      <c r="K9" t="s">
        <v>0</v>
      </c>
      <c r="L9" t="s">
        <v>101</v>
      </c>
      <c r="M9" t="s">
        <v>15</v>
      </c>
      <c r="N9" t="s">
        <v>10</v>
      </c>
      <c r="O9" s="2" t="s">
        <v>16</v>
      </c>
      <c r="P9" s="2" t="s">
        <v>4</v>
      </c>
    </row>
    <row r="10" spans="2:16" x14ac:dyDescent="0.35">
      <c r="B10">
        <v>1</v>
      </c>
      <c r="C10" s="1">
        <v>45949</v>
      </c>
      <c r="D10" t="str">
        <f>IF(Tabel2[[#This Row],[TANGGAL]]="","",TEXT(Tabel2[[#This Row],[TANGGAL]],"DDDD"))</f>
        <v>Minggu</v>
      </c>
      <c r="E10" t="s">
        <v>17</v>
      </c>
      <c r="F10" s="4">
        <v>3</v>
      </c>
      <c r="G10" s="2">
        <v>1015000</v>
      </c>
      <c r="H10" s="2">
        <f>Tabel2[[#This Row],[JUMLAH]]*Tabel2[[#This Row],[HARGA]]</f>
        <v>3045000</v>
      </c>
      <c r="J10">
        <v>1</v>
      </c>
      <c r="K10" s="1">
        <v>45959</v>
      </c>
      <c r="L10" t="str">
        <f>IF(Tabel1[[#This Row],[TANGGAL]]="","",TEXT(Tabel1[[#This Row],[TANGGAL]],"DDDD"))</f>
        <v>Rabu</v>
      </c>
      <c r="M10" t="s">
        <v>103</v>
      </c>
      <c r="N10">
        <v>10</v>
      </c>
      <c r="O10" s="2">
        <v>280000</v>
      </c>
      <c r="P10" s="2">
        <f>Tabel1[[#This Row],[HARGA]]*Tabel1[[#This Row],[JUMLAH]]</f>
        <v>2800000</v>
      </c>
    </row>
    <row r="11" spans="2:16" x14ac:dyDescent="0.35">
      <c r="B11">
        <v>2</v>
      </c>
      <c r="C11" s="1">
        <v>45950</v>
      </c>
      <c r="D11" t="str">
        <f>IF(Tabel2[[#This Row],[TANGGAL]]="","",TEXT(Tabel2[[#This Row],[TANGGAL]],"DDDD"))</f>
        <v>Senin</v>
      </c>
      <c r="E11" t="s">
        <v>17</v>
      </c>
      <c r="F11" s="4">
        <v>13</v>
      </c>
      <c r="G11" s="2">
        <v>1015000</v>
      </c>
      <c r="H11" s="2">
        <f>Tabel2[[#This Row],[JUMLAH]]*Tabel2[[#This Row],[HARGA]]</f>
        <v>13195000</v>
      </c>
      <c r="J11">
        <v>2</v>
      </c>
      <c r="K11" s="1">
        <v>45960</v>
      </c>
      <c r="L11" t="str">
        <f>IF(Tabel1[[#This Row],[TANGGAL]]="","",TEXT(Tabel1[[#This Row],[TANGGAL]],"DDDD"))</f>
        <v>Kamis</v>
      </c>
      <c r="M11" t="s">
        <v>103</v>
      </c>
      <c r="N11">
        <v>12</v>
      </c>
      <c r="O11" s="2">
        <v>280000</v>
      </c>
      <c r="P11" s="2">
        <f>Tabel1[[#This Row],[HARGA]]*Tabel1[[#This Row],[JUMLAH]]</f>
        <v>3360000</v>
      </c>
    </row>
    <row r="12" spans="2:16" x14ac:dyDescent="0.35">
      <c r="B12">
        <v>3</v>
      </c>
      <c r="C12" s="1">
        <v>45951</v>
      </c>
      <c r="D12" t="str">
        <f>IF(Tabel2[[#This Row],[TANGGAL]]="","",TEXT(Tabel2[[#This Row],[TANGGAL]],"DDDD"))</f>
        <v>Selasa</v>
      </c>
      <c r="E12" t="s">
        <v>17</v>
      </c>
      <c r="F12" s="4">
        <v>6</v>
      </c>
      <c r="G12" s="2">
        <v>1015000</v>
      </c>
      <c r="H12" s="2">
        <f>Tabel2[[#This Row],[JUMLAH]]*Tabel2[[#This Row],[HARGA]]</f>
        <v>6090000</v>
      </c>
      <c r="J12">
        <v>3</v>
      </c>
      <c r="K12" s="1">
        <v>45961</v>
      </c>
      <c r="L12" t="str">
        <f>IF(Tabel1[[#This Row],[TANGGAL]]="","",TEXT(Tabel1[[#This Row],[TANGGAL]],"DDDD"))</f>
        <v>Jumat</v>
      </c>
      <c r="M12" t="s">
        <v>103</v>
      </c>
      <c r="N12">
        <v>22</v>
      </c>
      <c r="O12" s="2">
        <v>280000</v>
      </c>
      <c r="P12" s="2">
        <f>Tabel1[[#This Row],[HARGA]]*Tabel1[[#This Row],[JUMLAH]]</f>
        <v>6160000</v>
      </c>
    </row>
    <row r="13" spans="2:16" x14ac:dyDescent="0.35">
      <c r="B13">
        <v>4</v>
      </c>
      <c r="C13" s="1">
        <v>45952</v>
      </c>
      <c r="D13" t="str">
        <f>IF(Tabel2[[#This Row],[TANGGAL]]="","",TEXT(Tabel2[[#This Row],[TANGGAL]],"DDDD"))</f>
        <v>Rabu</v>
      </c>
      <c r="E13" t="s">
        <v>17</v>
      </c>
      <c r="F13" s="4">
        <v>12</v>
      </c>
      <c r="G13" s="2">
        <v>1015000</v>
      </c>
      <c r="H13" s="2">
        <f>Tabel2[[#This Row],[JUMLAH]]*Tabel2[[#This Row],[HARGA]]</f>
        <v>12180000</v>
      </c>
      <c r="J13">
        <v>4</v>
      </c>
      <c r="K13" s="1">
        <v>45962</v>
      </c>
      <c r="L13" t="str">
        <f>IF(Tabel1[[#This Row],[TANGGAL]]="","",TEXT(Tabel1[[#This Row],[TANGGAL]],"DDDD"))</f>
        <v>Sabtu</v>
      </c>
      <c r="M13" t="s">
        <v>103</v>
      </c>
      <c r="N13">
        <v>7</v>
      </c>
      <c r="O13" s="2">
        <v>280000</v>
      </c>
      <c r="P13" s="2">
        <f>Tabel1[[#This Row],[HARGA]]*Tabel1[[#This Row],[JUMLAH]]</f>
        <v>1960000</v>
      </c>
    </row>
    <row r="14" spans="2:16" x14ac:dyDescent="0.35">
      <c r="B14">
        <v>5</v>
      </c>
      <c r="C14" s="1">
        <v>45953</v>
      </c>
      <c r="D14" t="str">
        <f>IF(Tabel2[[#This Row],[TANGGAL]]="","",TEXT(Tabel2[[#This Row],[TANGGAL]],"DDDD"))</f>
        <v>Kamis</v>
      </c>
      <c r="E14" t="s">
        <v>17</v>
      </c>
      <c r="F14" s="4">
        <v>3</v>
      </c>
      <c r="G14" s="2">
        <v>1015000</v>
      </c>
      <c r="H14" s="2">
        <f>Tabel2[[#This Row],[JUMLAH]]*Tabel2[[#This Row],[HARGA]]</f>
        <v>3045000</v>
      </c>
      <c r="J14">
        <v>5</v>
      </c>
      <c r="K14" s="1">
        <v>45963</v>
      </c>
      <c r="L14" s="2" t="str">
        <f>IF(Tabel1[[#This Row],[TANGGAL]]="","",TEXT(Tabel1[[#This Row],[TANGGAL]],"DDDD"))</f>
        <v>Minggu</v>
      </c>
      <c r="M14" t="s">
        <v>103</v>
      </c>
      <c r="N14">
        <v>6</v>
      </c>
      <c r="O14" s="2">
        <v>280000</v>
      </c>
      <c r="P14" s="2">
        <f>Tabel1[[#This Row],[HARGA]]*Tabel1[[#This Row],[JUMLAH]]</f>
        <v>1680000</v>
      </c>
    </row>
    <row r="15" spans="2:16" x14ac:dyDescent="0.35">
      <c r="B15">
        <v>6</v>
      </c>
      <c r="C15" s="1">
        <v>45954</v>
      </c>
      <c r="D15" t="str">
        <f>IF(Tabel2[[#This Row],[TANGGAL]]="","",TEXT(Tabel2[[#This Row],[TANGGAL]],"DDDD"))</f>
        <v>Jumat</v>
      </c>
      <c r="E15" t="s">
        <v>17</v>
      </c>
      <c r="F15" s="4">
        <v>11</v>
      </c>
      <c r="G15" s="2">
        <v>1015000</v>
      </c>
      <c r="H15" s="2">
        <f>Tabel2[[#This Row],[JUMLAH]]*Tabel2[[#This Row],[HARGA]]</f>
        <v>11165000</v>
      </c>
      <c r="J15">
        <v>6</v>
      </c>
      <c r="K15" s="1">
        <v>45964</v>
      </c>
      <c r="L15" t="str">
        <f>IF(Tabel1[[#This Row],[TANGGAL]]="","",TEXT(Tabel1[[#This Row],[TANGGAL]],"DDDD"))</f>
        <v>Senin</v>
      </c>
      <c r="M15" t="s">
        <v>103</v>
      </c>
      <c r="N15">
        <v>5</v>
      </c>
      <c r="O15" s="2">
        <v>280000</v>
      </c>
      <c r="P15" s="2">
        <f>Tabel1[[#This Row],[HARGA]]*Tabel1[[#This Row],[JUMLAH]]</f>
        <v>1400000</v>
      </c>
    </row>
    <row r="16" spans="2:16" x14ac:dyDescent="0.35">
      <c r="B16">
        <v>7</v>
      </c>
      <c r="C16" s="1">
        <v>45955</v>
      </c>
      <c r="D16" t="str">
        <f>IF(Tabel2[[#This Row],[TANGGAL]]="","",TEXT(Tabel2[[#This Row],[TANGGAL]],"DDDD"))</f>
        <v>Sabtu</v>
      </c>
      <c r="E16" t="s">
        <v>17</v>
      </c>
      <c r="F16" s="4">
        <v>16</v>
      </c>
      <c r="G16" s="2">
        <v>1015000</v>
      </c>
      <c r="H16" s="2">
        <f>Tabel2[[#This Row],[JUMLAH]]*Tabel2[[#This Row],[HARGA]]</f>
        <v>16240000</v>
      </c>
      <c r="I16" s="2"/>
      <c r="J16">
        <v>7</v>
      </c>
      <c r="K16" s="1">
        <v>45965</v>
      </c>
      <c r="L16" t="str">
        <f>IF(Tabel1[[#This Row],[TANGGAL]]="","",TEXT(Tabel1[[#This Row],[TANGGAL]],"DDDD"))</f>
        <v>Selasa</v>
      </c>
      <c r="M16" t="s">
        <v>103</v>
      </c>
      <c r="N16">
        <v>8</v>
      </c>
      <c r="O16" s="2">
        <v>280000</v>
      </c>
      <c r="P16" s="2">
        <f>Tabel1[[#This Row],[HARGA]]*Tabel1[[#This Row],[JUMLAH]]</f>
        <v>2240000</v>
      </c>
    </row>
    <row r="17" spans="2:16" x14ac:dyDescent="0.35">
      <c r="B17">
        <v>9</v>
      </c>
      <c r="C17" s="1">
        <v>45956</v>
      </c>
      <c r="D17" t="str">
        <f>IF(Tabel2[[#This Row],[TANGGAL]]="","",TEXT(Tabel2[[#This Row],[TANGGAL]],"DDDD"))</f>
        <v>Minggu</v>
      </c>
      <c r="E17" t="s">
        <v>17</v>
      </c>
      <c r="F17" s="4">
        <v>13</v>
      </c>
      <c r="G17" s="2">
        <v>1015000</v>
      </c>
      <c r="H17" s="2">
        <f>Tabel2[[#This Row],[JUMLAH]]*Tabel2[[#This Row],[HARGA]]</f>
        <v>13195000</v>
      </c>
      <c r="J17">
        <v>8</v>
      </c>
      <c r="K17" s="1">
        <v>45966</v>
      </c>
      <c r="L17" t="str">
        <f>IF(Tabel1[[#This Row],[TANGGAL]]="","",TEXT(Tabel1[[#This Row],[TANGGAL]],"DDDD"))</f>
        <v>Rabu</v>
      </c>
      <c r="M17" t="s">
        <v>103</v>
      </c>
      <c r="N17">
        <v>2</v>
      </c>
      <c r="O17" s="2">
        <v>280000</v>
      </c>
      <c r="P17" s="2">
        <f>Tabel1[[#This Row],[HARGA]]*Tabel1[[#This Row],[JUMLAH]]</f>
        <v>560000</v>
      </c>
    </row>
    <row r="18" spans="2:16" x14ac:dyDescent="0.35">
      <c r="B18">
        <v>10</v>
      </c>
      <c r="C18" s="1">
        <v>45957</v>
      </c>
      <c r="D18" t="str">
        <f>IF(Tabel2[[#This Row],[TANGGAL]]="","",TEXT(Tabel2[[#This Row],[TANGGAL]],"DDDD"))</f>
        <v>Senin</v>
      </c>
      <c r="E18" t="s">
        <v>17</v>
      </c>
      <c r="F18" s="4">
        <v>9</v>
      </c>
      <c r="G18" s="2">
        <v>985000</v>
      </c>
      <c r="H18" s="2">
        <f>Tabel2[[#This Row],[JUMLAH]]*Tabel2[[#This Row],[HARGA]]</f>
        <v>8865000</v>
      </c>
      <c r="J18">
        <v>9</v>
      </c>
      <c r="K18" s="1">
        <v>45967</v>
      </c>
      <c r="L18" t="str">
        <f>IF(Tabel1[[#This Row],[TANGGAL]]="","",TEXT(Tabel1[[#This Row],[TANGGAL]],"DDDD"))</f>
        <v>Kamis</v>
      </c>
      <c r="M18" t="s">
        <v>103</v>
      </c>
      <c r="N18">
        <v>1</v>
      </c>
      <c r="O18" s="2">
        <v>280000</v>
      </c>
      <c r="P18" s="2">
        <f>Tabel1[[#This Row],[HARGA]]*Tabel1[[#This Row],[JUMLAH]]</f>
        <v>280000</v>
      </c>
    </row>
    <row r="19" spans="2:16" x14ac:dyDescent="0.35">
      <c r="B19">
        <v>11</v>
      </c>
      <c r="C19" s="1">
        <v>45957</v>
      </c>
      <c r="D19" t="str">
        <f>IF(Tabel2[[#This Row],[TANGGAL]]="","",TEXT(Tabel2[[#This Row],[TANGGAL]],"DDDD"))</f>
        <v>Senin</v>
      </c>
      <c r="E19" t="s">
        <v>17</v>
      </c>
      <c r="F19" s="4">
        <v>13</v>
      </c>
      <c r="G19" s="2">
        <v>1015000</v>
      </c>
      <c r="H19" s="2">
        <f>Tabel2[[#This Row],[JUMLAH]]*Tabel2[[#This Row],[HARGA]]</f>
        <v>13195000</v>
      </c>
      <c r="J19">
        <v>10</v>
      </c>
      <c r="K19" s="1">
        <v>45968</v>
      </c>
      <c r="L19" t="str">
        <f>IF(Tabel1[[#This Row],[TANGGAL]]="","",TEXT(Tabel1[[#This Row],[TANGGAL]],"DDDD"))</f>
        <v>Jumat</v>
      </c>
      <c r="M19" t="s">
        <v>103</v>
      </c>
      <c r="N19">
        <v>1</v>
      </c>
      <c r="O19" s="2">
        <v>280000</v>
      </c>
      <c r="P19" s="2">
        <f>Tabel1[[#This Row],[HARGA]]*Tabel1[[#This Row],[JUMLAH]]</f>
        <v>280000</v>
      </c>
    </row>
    <row r="20" spans="2:16" x14ac:dyDescent="0.35">
      <c r="B20">
        <v>11</v>
      </c>
      <c r="C20" s="1">
        <v>45958</v>
      </c>
      <c r="D20" t="str">
        <f>IF(Tabel2[[#This Row],[TANGGAL]]="","",TEXT(Tabel2[[#This Row],[TANGGAL]],"DDDD"))</f>
        <v>Selasa</v>
      </c>
      <c r="E20" t="s">
        <v>17</v>
      </c>
      <c r="F20" s="4">
        <v>14</v>
      </c>
      <c r="G20" s="2">
        <v>1015000</v>
      </c>
      <c r="H20" s="2">
        <f>Tabel2[[#This Row],[JUMLAH]]*Tabel2[[#This Row],[HARGA]]</f>
        <v>14210000</v>
      </c>
      <c r="J20">
        <v>11</v>
      </c>
      <c r="K20" s="1">
        <v>45969</v>
      </c>
      <c r="L20" t="str">
        <f>IF(Tabel1[[#This Row],[TANGGAL]]="","",TEXT(Tabel1[[#This Row],[TANGGAL]],"DDDD"))</f>
        <v>Sabtu</v>
      </c>
      <c r="M20" t="s">
        <v>103</v>
      </c>
      <c r="N20">
        <v>5</v>
      </c>
      <c r="O20" s="2">
        <v>280000</v>
      </c>
      <c r="P20" s="2">
        <f>Tabel1[[#This Row],[HARGA]]*Tabel1[[#This Row],[JUMLAH]]</f>
        <v>1400000</v>
      </c>
    </row>
    <row r="21" spans="2:16" x14ac:dyDescent="0.35">
      <c r="B21">
        <v>12</v>
      </c>
      <c r="C21" s="1">
        <v>45959</v>
      </c>
      <c r="D21" t="str">
        <f>IF(Tabel2[[#This Row],[TANGGAL]]="","",TEXT(Tabel2[[#This Row],[TANGGAL]],"DDDD"))</f>
        <v>Rabu</v>
      </c>
      <c r="E21" t="s">
        <v>17</v>
      </c>
      <c r="F21" s="4">
        <v>13</v>
      </c>
      <c r="G21" s="2">
        <v>1015000</v>
      </c>
      <c r="H21" s="2">
        <f>Tabel2[[#This Row],[JUMLAH]]*Tabel2[[#This Row],[HARGA]]</f>
        <v>13195000</v>
      </c>
      <c r="J21">
        <v>12</v>
      </c>
      <c r="K21" s="1">
        <v>45970</v>
      </c>
      <c r="L21" t="str">
        <f>IF(Tabel1[[#This Row],[TANGGAL]]="","",TEXT(Tabel1[[#This Row],[TANGGAL]],"DDDD"))</f>
        <v>Minggu</v>
      </c>
      <c r="M21" t="s">
        <v>103</v>
      </c>
      <c r="N21">
        <v>4</v>
      </c>
      <c r="O21" s="2">
        <v>280000</v>
      </c>
      <c r="P21" s="2">
        <f>Tabel1[[#This Row],[HARGA]]*Tabel1[[#This Row],[JUMLAH]]</f>
        <v>1120000</v>
      </c>
    </row>
    <row r="22" spans="2:16" x14ac:dyDescent="0.35">
      <c r="B22">
        <v>13</v>
      </c>
      <c r="C22" s="1">
        <v>45959</v>
      </c>
      <c r="D22" t="str">
        <f>IF(Tabel2[[#This Row],[TANGGAL]]="","",TEXT(Tabel2[[#This Row],[TANGGAL]],"DDDD"))</f>
        <v>Rabu</v>
      </c>
      <c r="E22" t="s">
        <v>17</v>
      </c>
      <c r="F22" s="4">
        <v>4</v>
      </c>
      <c r="G22" s="2">
        <v>985000</v>
      </c>
      <c r="H22" s="2">
        <f>Tabel2[[#This Row],[JUMLAH]]*Tabel2[[#This Row],[HARGA]]</f>
        <v>3940000</v>
      </c>
      <c r="J22">
        <v>13</v>
      </c>
      <c r="K22" s="1">
        <v>45971</v>
      </c>
      <c r="L22" t="str">
        <f>IF(Tabel1[[#This Row],[TANGGAL]]="","",TEXT(Tabel1[[#This Row],[TANGGAL]],"DDDD"))</f>
        <v>Senin</v>
      </c>
      <c r="M22" t="s">
        <v>103</v>
      </c>
      <c r="N22">
        <v>10</v>
      </c>
      <c r="O22" s="2">
        <v>280000</v>
      </c>
      <c r="P22" s="2">
        <f>Tabel1[[#This Row],[HARGA]]*Tabel1[[#This Row],[JUMLAH]]</f>
        <v>2800000</v>
      </c>
    </row>
    <row r="23" spans="2:16" x14ac:dyDescent="0.35">
      <c r="B23">
        <v>14</v>
      </c>
      <c r="C23" s="1">
        <v>45960</v>
      </c>
      <c r="D23" t="str">
        <f>IF(Tabel2[[#This Row],[TANGGAL]]="","",TEXT(Tabel2[[#This Row],[TANGGAL]],"DDDD"))</f>
        <v>Kamis</v>
      </c>
      <c r="E23" t="s">
        <v>17</v>
      </c>
      <c r="F23" s="4">
        <v>6</v>
      </c>
      <c r="G23" s="2">
        <v>985000</v>
      </c>
      <c r="H23" s="2">
        <f>Tabel2[[#This Row],[JUMLAH]]*Tabel2[[#This Row],[HARGA]]</f>
        <v>5910000</v>
      </c>
      <c r="J23">
        <v>14</v>
      </c>
      <c r="K23" s="1">
        <v>45972</v>
      </c>
      <c r="L23" t="str">
        <f>IF(Tabel1[[#This Row],[TANGGAL]]="","",TEXT(Tabel1[[#This Row],[TANGGAL]],"DDDD"))</f>
        <v>Selasa</v>
      </c>
      <c r="M23" t="s">
        <v>103</v>
      </c>
      <c r="N23">
        <v>9</v>
      </c>
      <c r="O23" s="2">
        <v>280000</v>
      </c>
      <c r="P23" s="2">
        <f>Tabel1[[#This Row],[HARGA]]*Tabel1[[#This Row],[JUMLAH]]</f>
        <v>2520000</v>
      </c>
    </row>
    <row r="24" spans="2:16" x14ac:dyDescent="0.35">
      <c r="B24">
        <v>15</v>
      </c>
      <c r="C24" s="1">
        <v>45960</v>
      </c>
      <c r="D24" t="str">
        <f>IF(Tabel2[[#This Row],[TANGGAL]]="","",TEXT(Tabel2[[#This Row],[TANGGAL]],"DDDD"))</f>
        <v>Kamis</v>
      </c>
      <c r="E24" t="s">
        <v>17</v>
      </c>
      <c r="F24" s="4">
        <v>4</v>
      </c>
      <c r="G24" s="2">
        <v>1015000</v>
      </c>
      <c r="H24" s="2">
        <f>Tabel2[[#This Row],[JUMLAH]]*Tabel2[[#This Row],[HARGA]]</f>
        <v>4060000</v>
      </c>
      <c r="J24">
        <v>15</v>
      </c>
      <c r="K24" s="1">
        <v>45973</v>
      </c>
      <c r="L24" t="str">
        <f>IF(Tabel1[[#This Row],[TANGGAL]]="","",TEXT(Tabel1[[#This Row],[TANGGAL]],"DDDD"))</f>
        <v>Rabu</v>
      </c>
      <c r="M24" t="s">
        <v>103</v>
      </c>
      <c r="N24">
        <v>3</v>
      </c>
      <c r="O24" s="2">
        <v>280000</v>
      </c>
      <c r="P24" s="2">
        <f>Tabel1[[#This Row],[HARGA]]*Tabel1[[#This Row],[JUMLAH]]</f>
        <v>840000</v>
      </c>
    </row>
    <row r="25" spans="2:16" x14ac:dyDescent="0.35">
      <c r="B25">
        <v>16</v>
      </c>
      <c r="C25" s="1">
        <v>45961</v>
      </c>
      <c r="D25" t="str">
        <f>IF(Tabel2[[#This Row],[TANGGAL]]="","",TEXT(Tabel2[[#This Row],[TANGGAL]],"DDDD"))</f>
        <v>Jumat</v>
      </c>
      <c r="E25" t="s">
        <v>17</v>
      </c>
      <c r="F25" s="4">
        <v>4</v>
      </c>
      <c r="G25" s="2">
        <v>1015000</v>
      </c>
      <c r="H25" s="2">
        <f>Tabel2[[#This Row],[JUMLAH]]*Tabel2[[#This Row],[HARGA]]</f>
        <v>4060000</v>
      </c>
      <c r="J25">
        <v>16</v>
      </c>
      <c r="K25" s="1">
        <v>45974</v>
      </c>
      <c r="L25" t="str">
        <f>IF(Tabel1[[#This Row],[TANGGAL]]="","",TEXT(Tabel1[[#This Row],[TANGGAL]],"DDDD"))</f>
        <v>Kamis</v>
      </c>
      <c r="M25" t="s">
        <v>103</v>
      </c>
      <c r="N25">
        <v>1</v>
      </c>
      <c r="O25" s="2">
        <v>280000</v>
      </c>
      <c r="P25" s="2">
        <f>Tabel1[[#This Row],[HARGA]]*Tabel1[[#This Row],[JUMLAH]]</f>
        <v>280000</v>
      </c>
    </row>
    <row r="26" spans="2:16" x14ac:dyDescent="0.35">
      <c r="B26">
        <v>17</v>
      </c>
      <c r="C26" s="1">
        <v>45962</v>
      </c>
      <c r="D26" t="str">
        <f>IF(Tabel2[[#This Row],[TANGGAL]]="","",TEXT(Tabel2[[#This Row],[TANGGAL]],"DDDD"))</f>
        <v>Sabtu</v>
      </c>
      <c r="E26" t="s">
        <v>17</v>
      </c>
      <c r="F26" s="4">
        <v>4</v>
      </c>
      <c r="G26" s="2">
        <v>1015000</v>
      </c>
      <c r="H26" s="2">
        <f>Tabel2[[#This Row],[JUMLAH]]*Tabel2[[#This Row],[HARGA]]</f>
        <v>4060000</v>
      </c>
      <c r="J26">
        <v>17</v>
      </c>
      <c r="K26" s="1">
        <v>45975</v>
      </c>
      <c r="L26" t="str">
        <f>IF(Tabel1[[#This Row],[TANGGAL]]="","",TEXT(Tabel1[[#This Row],[TANGGAL]],"DDDD"))</f>
        <v>Jumat</v>
      </c>
      <c r="M26" t="s">
        <v>103</v>
      </c>
      <c r="N26">
        <v>8</v>
      </c>
      <c r="O26" s="2">
        <v>280000</v>
      </c>
      <c r="P26" s="2">
        <f>Tabel1[[#This Row],[HARGA]]*Tabel1[[#This Row],[JUMLAH]]</f>
        <v>2240000</v>
      </c>
    </row>
    <row r="27" spans="2:16" x14ac:dyDescent="0.35">
      <c r="B27">
        <v>18</v>
      </c>
      <c r="C27" s="1">
        <v>45963</v>
      </c>
      <c r="D27" t="str">
        <f>IF(Tabel2[[#This Row],[TANGGAL]]="","",TEXT(Tabel2[[#This Row],[TANGGAL]],"DDDD"))</f>
        <v>Minggu</v>
      </c>
      <c r="E27" t="s">
        <v>17</v>
      </c>
      <c r="F27" s="4">
        <v>8</v>
      </c>
      <c r="G27" s="2">
        <v>1015000</v>
      </c>
      <c r="H27" s="2">
        <f>Tabel2[[#This Row],[JUMLAH]]*Tabel2[[#This Row],[HARGA]]</f>
        <v>8120000</v>
      </c>
      <c r="J27">
        <v>18</v>
      </c>
      <c r="K27" s="1">
        <v>45976</v>
      </c>
      <c r="L27" t="str">
        <f>IF(Tabel1[[#This Row],[TANGGAL]]="","",TEXT(Tabel1[[#This Row],[TANGGAL]],"DDDD"))</f>
        <v>Sabtu</v>
      </c>
      <c r="M27" t="s">
        <v>103</v>
      </c>
      <c r="N27">
        <v>21</v>
      </c>
      <c r="O27" s="2">
        <v>280000</v>
      </c>
      <c r="P27" s="2">
        <f>Tabel1[[#This Row],[HARGA]]*Tabel1[[#This Row],[JUMLAH]]</f>
        <v>5880000</v>
      </c>
    </row>
    <row r="28" spans="2:16" x14ac:dyDescent="0.35">
      <c r="B28">
        <v>19</v>
      </c>
      <c r="C28" s="1">
        <v>45964</v>
      </c>
      <c r="D28" t="str">
        <f>IF(Tabel2[[#This Row],[TANGGAL]]="","",TEXT(Tabel2[[#This Row],[TANGGAL]],"DDDD"))</f>
        <v>Senin</v>
      </c>
      <c r="E28" t="s">
        <v>17</v>
      </c>
      <c r="F28" s="4">
        <v>8</v>
      </c>
      <c r="G28" s="2">
        <v>1015000</v>
      </c>
      <c r="H28" s="2">
        <f>Tabel2[[#This Row],[JUMLAH]]*Tabel2[[#This Row],[HARGA]]</f>
        <v>8120000</v>
      </c>
      <c r="J28">
        <v>19</v>
      </c>
      <c r="K28" s="1">
        <v>45977</v>
      </c>
      <c r="L28" t="str">
        <f>IF(Tabel1[[#This Row],[TANGGAL]]="","",TEXT(Tabel1[[#This Row],[TANGGAL]],"DDDD"))</f>
        <v>Minggu</v>
      </c>
      <c r="M28" t="s">
        <v>103</v>
      </c>
      <c r="N28">
        <v>19</v>
      </c>
      <c r="O28" s="2">
        <v>280000</v>
      </c>
      <c r="P28" s="2">
        <f>Tabel1[[#This Row],[HARGA]]*Tabel1[[#This Row],[JUMLAH]]</f>
        <v>5320000</v>
      </c>
    </row>
    <row r="29" spans="2:16" x14ac:dyDescent="0.35">
      <c r="B29">
        <v>20</v>
      </c>
      <c r="C29" s="1">
        <v>45965</v>
      </c>
      <c r="D29" t="str">
        <f>IF(Tabel2[[#This Row],[TANGGAL]]="","",TEXT(Tabel2[[#This Row],[TANGGAL]],"DDDD"))</f>
        <v>Selasa</v>
      </c>
      <c r="E29" t="s">
        <v>17</v>
      </c>
      <c r="F29" s="4">
        <v>9</v>
      </c>
      <c r="G29" s="2">
        <v>1015000</v>
      </c>
      <c r="H29" s="2">
        <f>Tabel2[[#This Row],[JUMLAH]]*Tabel2[[#This Row],[HARGA]]</f>
        <v>9135000</v>
      </c>
      <c r="J29">
        <v>20</v>
      </c>
      <c r="K29" s="1">
        <v>45978</v>
      </c>
      <c r="L29" t="str">
        <f>IF(Tabel1[[#This Row],[TANGGAL]]="","",TEXT(Tabel1[[#This Row],[TANGGAL]],"DDDD"))</f>
        <v>Senin</v>
      </c>
      <c r="M29" t="s">
        <v>103</v>
      </c>
      <c r="N29">
        <v>29</v>
      </c>
      <c r="O29" s="2">
        <v>280000</v>
      </c>
      <c r="P29" s="2">
        <f>Tabel1[[#This Row],[HARGA]]*Tabel1[[#This Row],[JUMLAH]]</f>
        <v>8120000</v>
      </c>
    </row>
    <row r="30" spans="2:16" x14ac:dyDescent="0.35">
      <c r="B30">
        <v>21</v>
      </c>
      <c r="C30" s="1">
        <v>45966</v>
      </c>
      <c r="D30" t="str">
        <f>IF(Tabel2[[#This Row],[TANGGAL]]="","",TEXT(Tabel2[[#This Row],[TANGGAL]],"DDDD"))</f>
        <v>Rabu</v>
      </c>
      <c r="E30" t="s">
        <v>17</v>
      </c>
      <c r="F30" s="4">
        <v>2</v>
      </c>
      <c r="G30" s="2">
        <v>1015000</v>
      </c>
      <c r="H30" s="2">
        <f>Tabel2[[#This Row],[JUMLAH]]*Tabel2[[#This Row],[HARGA]]</f>
        <v>2030000</v>
      </c>
      <c r="J30">
        <v>21</v>
      </c>
      <c r="K30" s="1">
        <v>45979</v>
      </c>
      <c r="L30" t="str">
        <f>IF(Tabel1[[#This Row],[TANGGAL]]="","",TEXT(Tabel1[[#This Row],[TANGGAL]],"DDDD"))</f>
        <v>Selasa</v>
      </c>
      <c r="M30" t="s">
        <v>103</v>
      </c>
      <c r="N30">
        <v>9</v>
      </c>
      <c r="O30" s="2">
        <v>280000</v>
      </c>
      <c r="P30" s="2">
        <f>Tabel1[[#This Row],[HARGA]]*Tabel1[[#This Row],[JUMLAH]]</f>
        <v>2520000</v>
      </c>
    </row>
    <row r="31" spans="2:16" x14ac:dyDescent="0.35">
      <c r="B31">
        <v>22</v>
      </c>
      <c r="C31" s="1">
        <v>45967</v>
      </c>
      <c r="D31" t="str">
        <f>IF(Tabel2[[#This Row],[TANGGAL]]="","",TEXT(Tabel2[[#This Row],[TANGGAL]],"DDDD"))</f>
        <v>Kamis</v>
      </c>
      <c r="E31" t="s">
        <v>17</v>
      </c>
      <c r="F31" s="4">
        <v>7</v>
      </c>
      <c r="G31" s="2">
        <v>1015000</v>
      </c>
      <c r="H31" s="2">
        <f>Tabel2[[#This Row],[JUMLAH]]*Tabel2[[#This Row],[HARGA]]</f>
        <v>7105000</v>
      </c>
    </row>
    <row r="32" spans="2:16" x14ac:dyDescent="0.35">
      <c r="B32">
        <v>23</v>
      </c>
      <c r="C32" s="1">
        <v>45967</v>
      </c>
      <c r="D32" t="str">
        <f>IF(Tabel2[[#This Row],[TANGGAL]]="","",TEXT(Tabel2[[#This Row],[TANGGAL]],"DDDD"))</f>
        <v>Kamis</v>
      </c>
      <c r="E32" t="s">
        <v>17</v>
      </c>
      <c r="F32" s="4">
        <v>1</v>
      </c>
      <c r="G32" s="2">
        <v>985000</v>
      </c>
      <c r="H32" s="2">
        <f>Tabel2[[#This Row],[JUMLAH]]*Tabel2[[#This Row],[HARGA]]</f>
        <v>985000</v>
      </c>
    </row>
    <row r="33" spans="2:13" x14ac:dyDescent="0.35">
      <c r="B33">
        <v>24</v>
      </c>
      <c r="C33" s="1">
        <v>45968</v>
      </c>
      <c r="D33" t="str">
        <f>IF(Tabel2[[#This Row],[TANGGAL]]="","",TEXT(Tabel2[[#This Row],[TANGGAL]],"DDDD"))</f>
        <v>Jumat</v>
      </c>
      <c r="E33" t="s">
        <v>17</v>
      </c>
      <c r="F33" s="4">
        <v>6</v>
      </c>
      <c r="G33" s="2">
        <v>1015000</v>
      </c>
      <c r="H33" s="2">
        <f>Tabel2[[#This Row],[JUMLAH]]*Tabel2[[#This Row],[HARGA]]</f>
        <v>6090000</v>
      </c>
      <c r="L33" s="2"/>
    </row>
    <row r="34" spans="2:13" x14ac:dyDescent="0.35">
      <c r="B34">
        <v>25</v>
      </c>
      <c r="C34" s="1">
        <v>45969</v>
      </c>
      <c r="D34" t="str">
        <f>IF(Tabel2[[#This Row],[TANGGAL]]="","",TEXT(Tabel2[[#This Row],[TANGGAL]],"DDDD"))</f>
        <v>Sabtu</v>
      </c>
      <c r="E34" t="s">
        <v>17</v>
      </c>
      <c r="F34" s="4">
        <v>2</v>
      </c>
      <c r="G34" s="2">
        <v>1015000</v>
      </c>
      <c r="H34" s="2">
        <f>Tabel2[[#This Row],[JUMLAH]]*Tabel2[[#This Row],[HARGA]]</f>
        <v>2030000</v>
      </c>
      <c r="M34" s="2"/>
    </row>
    <row r="35" spans="2:13" x14ac:dyDescent="0.35">
      <c r="B35">
        <v>26</v>
      </c>
      <c r="C35" s="1">
        <v>45969</v>
      </c>
      <c r="D35" t="str">
        <f>IF(Tabel2[[#This Row],[TANGGAL]]="","",TEXT(Tabel2[[#This Row],[TANGGAL]],"DDDD"))</f>
        <v>Sabtu</v>
      </c>
      <c r="E35" t="s">
        <v>17</v>
      </c>
      <c r="F35" s="4">
        <v>3</v>
      </c>
      <c r="G35" s="2">
        <v>1050000</v>
      </c>
      <c r="H35" s="2">
        <f>Tabel2[[#This Row],[JUMLAH]]*Tabel2[[#This Row],[HARGA]]</f>
        <v>3150000</v>
      </c>
    </row>
    <row r="36" spans="2:13" x14ac:dyDescent="0.35">
      <c r="B36">
        <v>27</v>
      </c>
      <c r="C36" s="1">
        <v>45970</v>
      </c>
      <c r="D36" t="str">
        <f>IF(Tabel2[[#This Row],[TANGGAL]]="","",TEXT(Tabel2[[#This Row],[TANGGAL]],"DDDD"))</f>
        <v>Minggu</v>
      </c>
      <c r="E36" t="s">
        <v>17</v>
      </c>
      <c r="F36" s="4">
        <v>3</v>
      </c>
      <c r="G36" s="2">
        <v>1015000</v>
      </c>
      <c r="H36" s="2">
        <f>Tabel2[[#This Row],[JUMLAH]]*Tabel2[[#This Row],[HARGA]]</f>
        <v>3045000</v>
      </c>
    </row>
    <row r="37" spans="2:13" x14ac:dyDescent="0.35">
      <c r="B37">
        <v>28</v>
      </c>
      <c r="C37" s="1">
        <v>45971</v>
      </c>
      <c r="D37" t="str">
        <f>IF(Tabel2[[#This Row],[TANGGAL]]="","",TEXT(Tabel2[[#This Row],[TANGGAL]],"DDDD"))</f>
        <v>Senin</v>
      </c>
      <c r="E37" t="s">
        <v>17</v>
      </c>
      <c r="F37" s="4">
        <v>6</v>
      </c>
      <c r="G37" s="2">
        <v>1015000</v>
      </c>
      <c r="H37" s="2">
        <f>Tabel2[[#This Row],[JUMLAH]]*Tabel2[[#This Row],[HARGA]]</f>
        <v>6090000</v>
      </c>
    </row>
    <row r="38" spans="2:13" x14ac:dyDescent="0.35">
      <c r="B38">
        <v>29</v>
      </c>
      <c r="C38" s="1">
        <v>45971</v>
      </c>
      <c r="D38" t="str">
        <f>IF(Tabel2[[#This Row],[TANGGAL]]="","",TEXT(Tabel2[[#This Row],[TANGGAL]],"DDDD"))</f>
        <v>Senin</v>
      </c>
      <c r="E38" t="s">
        <v>17</v>
      </c>
      <c r="F38" s="4">
        <v>2</v>
      </c>
      <c r="G38" s="2">
        <v>985000</v>
      </c>
      <c r="H38" s="2">
        <f>Tabel2[[#This Row],[JUMLAH]]*Tabel2[[#This Row],[HARGA]]</f>
        <v>1970000</v>
      </c>
      <c r="K38" s="2"/>
    </row>
    <row r="39" spans="2:13" x14ac:dyDescent="0.35">
      <c r="B39">
        <v>30</v>
      </c>
      <c r="C39" s="1">
        <v>45972</v>
      </c>
      <c r="D39" t="str">
        <f>IF(Tabel2[[#This Row],[TANGGAL]]="","",TEXT(Tabel2[[#This Row],[TANGGAL]],"DDDD"))</f>
        <v>Selasa</v>
      </c>
      <c r="E39" t="s">
        <v>17</v>
      </c>
      <c r="F39" s="4">
        <v>4</v>
      </c>
      <c r="G39" s="2">
        <v>1015000</v>
      </c>
      <c r="H39" s="2">
        <f>Tabel2[[#This Row],[JUMLAH]]*Tabel2[[#This Row],[HARGA]]</f>
        <v>4060000</v>
      </c>
    </row>
    <row r="40" spans="2:13" x14ac:dyDescent="0.35">
      <c r="B40">
        <v>31</v>
      </c>
      <c r="C40" s="1">
        <v>45972</v>
      </c>
      <c r="D40" t="str">
        <f>IF(Tabel2[[#This Row],[TANGGAL]]="","",TEXT(Tabel2[[#This Row],[TANGGAL]],"DDDD"))</f>
        <v>Selasa</v>
      </c>
      <c r="E40" t="s">
        <v>17</v>
      </c>
      <c r="F40" s="4">
        <v>1</v>
      </c>
      <c r="G40" s="2">
        <v>985000</v>
      </c>
      <c r="H40" s="2">
        <f>Tabel2[[#This Row],[JUMLAH]]*Tabel2[[#This Row],[HARGA]]</f>
        <v>985000</v>
      </c>
      <c r="J40" s="2"/>
    </row>
    <row r="41" spans="2:13" x14ac:dyDescent="0.35">
      <c r="B41">
        <v>32</v>
      </c>
      <c r="C41" s="1">
        <v>45972</v>
      </c>
      <c r="D41" t="str">
        <f>IF(Tabel2[[#This Row],[TANGGAL]]="","",TEXT(Tabel2[[#This Row],[TANGGAL]],"DDDD"))</f>
        <v>Selasa</v>
      </c>
      <c r="E41" t="s">
        <v>152</v>
      </c>
      <c r="F41" s="4">
        <v>1</v>
      </c>
      <c r="G41" s="2">
        <v>665000</v>
      </c>
      <c r="H41" s="2">
        <f>Tabel2[[#This Row],[JUMLAH]]*Tabel2[[#This Row],[HARGA]]</f>
        <v>665000</v>
      </c>
    </row>
    <row r="42" spans="2:13" x14ac:dyDescent="0.35">
      <c r="B42">
        <v>33</v>
      </c>
      <c r="C42" s="1">
        <v>45973</v>
      </c>
      <c r="D42" t="str">
        <f>IF(Tabel2[[#This Row],[TANGGAL]]="","",TEXT(Tabel2[[#This Row],[TANGGAL]],"DDDD"))</f>
        <v>Rabu</v>
      </c>
      <c r="E42" t="s">
        <v>17</v>
      </c>
      <c r="F42" s="4">
        <v>3</v>
      </c>
      <c r="G42" s="2">
        <v>1015000</v>
      </c>
      <c r="H42" s="2">
        <f>Tabel2[[#This Row],[JUMLAH]]*Tabel2[[#This Row],[HARGA]]</f>
        <v>3045000</v>
      </c>
    </row>
    <row r="43" spans="2:13" x14ac:dyDescent="0.35">
      <c r="B43">
        <v>34</v>
      </c>
      <c r="C43" s="1">
        <v>45973</v>
      </c>
      <c r="D43" t="str">
        <f>IF(Tabel2[[#This Row],[TANGGAL]]="","",TEXT(Tabel2[[#This Row],[TANGGAL]],"DDDD"))</f>
        <v>Rabu</v>
      </c>
      <c r="E43" t="s">
        <v>17</v>
      </c>
      <c r="F43" s="4">
        <v>1</v>
      </c>
      <c r="G43" s="2">
        <v>985000</v>
      </c>
      <c r="H43" s="2">
        <f>Tabel2[[#This Row],[JUMLAH]]*Tabel2[[#This Row],[HARGA]]</f>
        <v>985000</v>
      </c>
    </row>
    <row r="44" spans="2:13" x14ac:dyDescent="0.35">
      <c r="B44">
        <v>35</v>
      </c>
      <c r="C44" s="1">
        <v>45974</v>
      </c>
      <c r="D44" t="str">
        <f>IF(Tabel2[[#This Row],[TANGGAL]]="","",TEXT(Tabel2[[#This Row],[TANGGAL]],"DDDD"))</f>
        <v>Kamis</v>
      </c>
      <c r="E44" t="s">
        <v>17</v>
      </c>
      <c r="F44" s="4">
        <v>7</v>
      </c>
      <c r="G44" s="2">
        <v>1015000</v>
      </c>
      <c r="H44" s="2">
        <f>Tabel2[[#This Row],[JUMLAH]]*Tabel2[[#This Row],[HARGA]]</f>
        <v>7105000</v>
      </c>
    </row>
    <row r="45" spans="2:13" x14ac:dyDescent="0.35">
      <c r="B45">
        <v>36</v>
      </c>
      <c r="C45" s="1">
        <v>45974</v>
      </c>
      <c r="D45" t="str">
        <f>IF(Tabel2[[#This Row],[TANGGAL]]="","",TEXT(Tabel2[[#This Row],[TANGGAL]],"DDDD"))</f>
        <v>Kamis</v>
      </c>
      <c r="E45" t="s">
        <v>17</v>
      </c>
      <c r="F45" s="4">
        <v>2</v>
      </c>
      <c r="G45" s="2">
        <v>965000</v>
      </c>
      <c r="H45" s="2">
        <f>Tabel2[[#This Row],[JUMLAH]]*Tabel2[[#This Row],[HARGA]]</f>
        <v>1930000</v>
      </c>
    </row>
    <row r="46" spans="2:13" x14ac:dyDescent="0.35">
      <c r="B46">
        <v>37</v>
      </c>
      <c r="C46" s="1">
        <v>45975</v>
      </c>
      <c r="D46" t="str">
        <f>IF(Tabel2[[#This Row],[TANGGAL]]="","",TEXT(Tabel2[[#This Row],[TANGGAL]],"DDDD"))</f>
        <v>Jumat</v>
      </c>
      <c r="E46" t="s">
        <v>17</v>
      </c>
      <c r="F46" s="4">
        <v>5</v>
      </c>
      <c r="G46" s="2">
        <v>1015000</v>
      </c>
      <c r="H46" s="2">
        <f>Tabel2[[#This Row],[JUMLAH]]*Tabel2[[#This Row],[HARGA]]</f>
        <v>5075000</v>
      </c>
    </row>
    <row r="47" spans="2:13" x14ac:dyDescent="0.35">
      <c r="B47">
        <v>38</v>
      </c>
      <c r="C47" s="1">
        <v>45975</v>
      </c>
      <c r="D47" t="str">
        <f>IF(Tabel2[[#This Row],[TANGGAL]]="","",TEXT(Tabel2[[#This Row],[TANGGAL]],"DDDD"))</f>
        <v>Jumat</v>
      </c>
      <c r="E47" t="s">
        <v>17</v>
      </c>
      <c r="F47" s="4">
        <v>2</v>
      </c>
      <c r="G47" s="2">
        <v>965000</v>
      </c>
      <c r="H47" s="2">
        <f>Tabel2[[#This Row],[JUMLAH]]*Tabel2[[#This Row],[HARGA]]</f>
        <v>1930000</v>
      </c>
    </row>
    <row r="48" spans="2:13" x14ac:dyDescent="0.35">
      <c r="B48">
        <v>39</v>
      </c>
      <c r="C48" s="1">
        <v>45976</v>
      </c>
      <c r="D48" t="str">
        <f>IF(Tabel2[[#This Row],[TANGGAL]]="","",TEXT(Tabel2[[#This Row],[TANGGAL]],"DDDD"))</f>
        <v>Sabtu</v>
      </c>
      <c r="E48" t="s">
        <v>17</v>
      </c>
      <c r="F48" s="4">
        <v>4</v>
      </c>
      <c r="G48" s="2">
        <v>1015000</v>
      </c>
      <c r="H48" s="2">
        <f>Tabel2[[#This Row],[JUMLAH]]*Tabel2[[#This Row],[HARGA]]</f>
        <v>4060000</v>
      </c>
    </row>
    <row r="49" spans="2:8" x14ac:dyDescent="0.35">
      <c r="B49">
        <v>40</v>
      </c>
      <c r="C49" s="1">
        <v>45976</v>
      </c>
      <c r="D49" t="str">
        <f>IF(Tabel2[[#This Row],[TANGGAL]]="","",TEXT(Tabel2[[#This Row],[TANGGAL]],"DDDD"))</f>
        <v>Sabtu</v>
      </c>
      <c r="E49" t="s">
        <v>17</v>
      </c>
      <c r="F49" s="4">
        <v>1</v>
      </c>
      <c r="G49" s="2">
        <v>965000</v>
      </c>
      <c r="H49" s="2">
        <f>Tabel2[[#This Row],[JUMLAH]]*Tabel2[[#This Row],[HARGA]]</f>
        <v>965000</v>
      </c>
    </row>
    <row r="50" spans="2:8" x14ac:dyDescent="0.35">
      <c r="B50">
        <v>41</v>
      </c>
      <c r="C50" s="1">
        <v>45977</v>
      </c>
      <c r="D50" t="str">
        <f>IF(Tabel2[[#This Row],[TANGGAL]]="","",TEXT(Tabel2[[#This Row],[TANGGAL]],"DDDD"))</f>
        <v>Minggu</v>
      </c>
      <c r="E50" t="s">
        <v>17</v>
      </c>
      <c r="F50" s="4">
        <v>4</v>
      </c>
      <c r="G50" s="2">
        <v>1015000</v>
      </c>
      <c r="H50" s="2">
        <f>Tabel2[[#This Row],[JUMLAH]]*Tabel2[[#This Row],[HARGA]]</f>
        <v>4060000</v>
      </c>
    </row>
    <row r="51" spans="2:8" x14ac:dyDescent="0.35">
      <c r="B51">
        <v>42</v>
      </c>
      <c r="C51" s="1">
        <v>45977</v>
      </c>
      <c r="D51" t="str">
        <f>IF(Tabel2[[#This Row],[TANGGAL]]="","",TEXT(Tabel2[[#This Row],[TANGGAL]],"DDDD"))</f>
        <v>Minggu</v>
      </c>
      <c r="E51" t="s">
        <v>17</v>
      </c>
      <c r="F51" s="4">
        <v>1</v>
      </c>
      <c r="G51" s="2">
        <v>965000</v>
      </c>
      <c r="H51" s="2">
        <f>Tabel2[[#This Row],[JUMLAH]]*Tabel2[[#This Row],[HARGA]]</f>
        <v>965000</v>
      </c>
    </row>
    <row r="52" spans="2:8" x14ac:dyDescent="0.35">
      <c r="B52">
        <v>43</v>
      </c>
      <c r="C52" s="1">
        <v>45978</v>
      </c>
      <c r="D52" t="str">
        <f>IF(Tabel2[[#This Row],[TANGGAL]]="","",TEXT(Tabel2[[#This Row],[TANGGAL]],"DDDD"))</f>
        <v>Senin</v>
      </c>
      <c r="E52" t="s">
        <v>17</v>
      </c>
      <c r="F52" s="4">
        <v>10</v>
      </c>
      <c r="G52" s="2">
        <v>1015000</v>
      </c>
      <c r="H52" s="2">
        <f>Tabel2[[#This Row],[JUMLAH]]*Tabel2[[#This Row],[HARGA]]</f>
        <v>10150000</v>
      </c>
    </row>
    <row r="53" spans="2:8" x14ac:dyDescent="0.35">
      <c r="B53">
        <v>44</v>
      </c>
      <c r="C53" s="1">
        <v>45979</v>
      </c>
      <c r="D53" t="str">
        <f>IF(Tabel2[[#This Row],[TANGGAL]]="","",TEXT(Tabel2[[#This Row],[TANGGAL]],"DDDD"))</f>
        <v>Selasa</v>
      </c>
      <c r="E53" t="s">
        <v>17</v>
      </c>
      <c r="F53" s="4">
        <v>12</v>
      </c>
      <c r="G53" s="2">
        <v>1015000</v>
      </c>
      <c r="H53" s="2">
        <f>Tabel2[[#This Row],[JUMLAH]]*Tabel2[[#This Row],[HARGA]]</f>
        <v>12180000</v>
      </c>
    </row>
    <row r="54" spans="2:8" x14ac:dyDescent="0.35">
      <c r="B54">
        <v>45</v>
      </c>
      <c r="C54" s="1">
        <v>45979</v>
      </c>
      <c r="D54" t="str">
        <f>IF(Tabel2[[#This Row],[TANGGAL]]="","",TEXT(Tabel2[[#This Row],[TANGGAL]],"DDDD"))</f>
        <v>Selasa</v>
      </c>
      <c r="E54" t="s">
        <v>17</v>
      </c>
      <c r="F54" s="4">
        <v>1</v>
      </c>
      <c r="G54" s="2">
        <v>965000</v>
      </c>
      <c r="H54" s="2">
        <f>Tabel2[[#This Row],[JUMLAH]]*Tabel2[[#This Row],[HARGA]]</f>
        <v>965000</v>
      </c>
    </row>
  </sheetData>
  <mergeCells count="12">
    <mergeCell ref="J4:K5"/>
    <mergeCell ref="L4:L5"/>
    <mergeCell ref="J3:K3"/>
    <mergeCell ref="B1:D2"/>
    <mergeCell ref="B3:C3"/>
    <mergeCell ref="F1:H2"/>
    <mergeCell ref="F3:H5"/>
    <mergeCell ref="B4:C5"/>
    <mergeCell ref="D4:D5"/>
    <mergeCell ref="J1:N2"/>
    <mergeCell ref="M4:N5"/>
    <mergeCell ref="M3:N3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392E3-8807-4475-B2BC-8699B025FB2C}">
  <dimension ref="A2:G32"/>
  <sheetViews>
    <sheetView zoomScale="80" zoomScaleNormal="80" workbookViewId="0">
      <selection activeCell="F5" sqref="F5"/>
    </sheetView>
  </sheetViews>
  <sheetFormatPr defaultRowHeight="14.5" x14ac:dyDescent="0.35"/>
  <cols>
    <col min="1" max="1" width="11.453125" customWidth="1"/>
    <col min="2" max="2" width="14.90625" customWidth="1"/>
    <col min="3" max="3" width="20.1796875" customWidth="1"/>
    <col min="4" max="4" width="17.6328125" customWidth="1"/>
    <col min="5" max="5" width="17.36328125" customWidth="1"/>
    <col min="6" max="6" width="17.453125" customWidth="1"/>
    <col min="7" max="7" width="17.54296875" customWidth="1"/>
  </cols>
  <sheetData>
    <row r="2" spans="1:7" ht="15" thickBot="1" x14ac:dyDescent="0.4"/>
    <row r="3" spans="1:7" ht="15" thickTop="1" x14ac:dyDescent="0.35">
      <c r="A3" s="40" t="s">
        <v>11</v>
      </c>
      <c r="B3" s="41"/>
      <c r="C3" s="41"/>
      <c r="D3" s="41"/>
      <c r="E3" s="42"/>
      <c r="F3" s="2"/>
      <c r="G3" s="2"/>
    </row>
    <row r="4" spans="1:7" ht="15" thickBot="1" x14ac:dyDescent="0.4">
      <c r="A4" s="43"/>
      <c r="B4" s="44"/>
      <c r="C4" s="44"/>
      <c r="D4" s="44"/>
      <c r="E4" s="45"/>
      <c r="F4" s="2"/>
      <c r="G4" s="2"/>
    </row>
    <row r="5" spans="1:7" ht="15.5" thickTop="1" thickBot="1" x14ac:dyDescent="0.4">
      <c r="A5" s="19" t="s">
        <v>102</v>
      </c>
      <c r="B5" s="19"/>
      <c r="C5" s="13" t="s">
        <v>10</v>
      </c>
      <c r="D5" s="46" t="s">
        <v>143</v>
      </c>
      <c r="E5" s="47"/>
      <c r="F5" s="2"/>
      <c r="G5" s="2"/>
    </row>
    <row r="6" spans="1:7" ht="15.5" thickTop="1" thickBot="1" x14ac:dyDescent="0.4">
      <c r="A6" s="17">
        <f>SUM(G12:G32)</f>
        <v>53760000</v>
      </c>
      <c r="B6" s="18"/>
      <c r="C6" s="19">
        <f>SUM(E12:E32)</f>
        <v>192</v>
      </c>
      <c r="D6" s="19">
        <f>C6/4</f>
        <v>48</v>
      </c>
      <c r="E6" s="19"/>
      <c r="F6" s="2"/>
      <c r="G6" s="2"/>
    </row>
    <row r="7" spans="1:7" ht="15.5" thickTop="1" thickBot="1" x14ac:dyDescent="0.4">
      <c r="A7" s="18"/>
      <c r="B7" s="18"/>
      <c r="C7" s="18"/>
      <c r="D7" s="19"/>
      <c r="E7" s="19"/>
      <c r="F7" s="2"/>
      <c r="G7" s="2"/>
    </row>
    <row r="8" spans="1:7" ht="15" thickTop="1" x14ac:dyDescent="0.35">
      <c r="F8" s="2"/>
      <c r="G8" s="2"/>
    </row>
    <row r="9" spans="1:7" x14ac:dyDescent="0.35">
      <c r="F9" s="2"/>
      <c r="G9" s="2"/>
    </row>
    <row r="10" spans="1:7" x14ac:dyDescent="0.35">
      <c r="F10" s="2"/>
      <c r="G10" s="2"/>
    </row>
    <row r="11" spans="1:7" x14ac:dyDescent="0.35">
      <c r="A11" s="11" t="s">
        <v>2</v>
      </c>
      <c r="B11" t="s">
        <v>0</v>
      </c>
      <c r="C11" t="s">
        <v>101</v>
      </c>
      <c r="D11" t="s">
        <v>15</v>
      </c>
      <c r="E11" t="s">
        <v>10</v>
      </c>
      <c r="F11" s="2" t="s">
        <v>16</v>
      </c>
      <c r="G11" s="2" t="s">
        <v>4</v>
      </c>
    </row>
    <row r="12" spans="1:7" x14ac:dyDescent="0.35">
      <c r="A12">
        <v>1</v>
      </c>
      <c r="B12" s="1">
        <v>45959</v>
      </c>
      <c r="C12" t="str">
        <f>IF(Tabel16[[#This Row],[TANGGAL]]="","",TEXT(Tabel16[[#This Row],[TANGGAL]],"DDDD"))</f>
        <v>Rabu</v>
      </c>
      <c r="D12" t="s">
        <v>103</v>
      </c>
      <c r="E12">
        <v>10</v>
      </c>
      <c r="F12" s="2">
        <v>280000</v>
      </c>
      <c r="G12" s="2">
        <f>Tabel16[[#This Row],[HARGA]]*Tabel16[[#This Row],[JUMLAH]]</f>
        <v>2800000</v>
      </c>
    </row>
    <row r="13" spans="1:7" x14ac:dyDescent="0.35">
      <c r="A13">
        <v>2</v>
      </c>
      <c r="B13" s="1">
        <v>45960</v>
      </c>
      <c r="C13" t="str">
        <f>IF(Tabel16[[#This Row],[TANGGAL]]="","",TEXT(Tabel16[[#This Row],[TANGGAL]],"DDDD"))</f>
        <v>Kamis</v>
      </c>
      <c r="D13" t="s">
        <v>103</v>
      </c>
      <c r="E13">
        <v>12</v>
      </c>
      <c r="F13" s="2">
        <v>280000</v>
      </c>
      <c r="G13" s="2">
        <f>Tabel16[[#This Row],[HARGA]]*Tabel16[[#This Row],[JUMLAH]]</f>
        <v>3360000</v>
      </c>
    </row>
    <row r="14" spans="1:7" x14ac:dyDescent="0.35">
      <c r="A14">
        <v>3</v>
      </c>
      <c r="B14" s="1">
        <v>45961</v>
      </c>
      <c r="C14" t="str">
        <f>IF(Tabel16[[#This Row],[TANGGAL]]="","",TEXT(Tabel16[[#This Row],[TANGGAL]],"DDDD"))</f>
        <v>Jumat</v>
      </c>
      <c r="D14" t="s">
        <v>103</v>
      </c>
      <c r="E14">
        <v>22</v>
      </c>
      <c r="F14" s="2">
        <v>280000</v>
      </c>
      <c r="G14" s="2">
        <f>Tabel16[[#This Row],[HARGA]]*Tabel16[[#This Row],[JUMLAH]]</f>
        <v>6160000</v>
      </c>
    </row>
    <row r="15" spans="1:7" x14ac:dyDescent="0.35">
      <c r="A15">
        <v>4</v>
      </c>
      <c r="B15" s="1">
        <v>45962</v>
      </c>
      <c r="C15" t="str">
        <f>IF(Tabel16[[#This Row],[TANGGAL]]="","",TEXT(Tabel16[[#This Row],[TANGGAL]],"DDDD"))</f>
        <v>Sabtu</v>
      </c>
      <c r="D15" t="s">
        <v>103</v>
      </c>
      <c r="E15">
        <v>7</v>
      </c>
      <c r="F15" s="2">
        <v>280000</v>
      </c>
      <c r="G15" s="2">
        <f>Tabel16[[#This Row],[HARGA]]*Tabel16[[#This Row],[JUMLAH]]</f>
        <v>1960000</v>
      </c>
    </row>
    <row r="16" spans="1:7" x14ac:dyDescent="0.35">
      <c r="A16">
        <v>5</v>
      </c>
      <c r="B16" s="1">
        <v>45963</v>
      </c>
      <c r="C16" s="2" t="str">
        <f>IF(Tabel16[[#This Row],[TANGGAL]]="","",TEXT(Tabel16[[#This Row],[TANGGAL]],"DDDD"))</f>
        <v>Minggu</v>
      </c>
      <c r="D16" t="s">
        <v>103</v>
      </c>
      <c r="E16">
        <v>6</v>
      </c>
      <c r="F16" s="2">
        <v>280000</v>
      </c>
      <c r="G16" s="2">
        <f>Tabel16[[#This Row],[HARGA]]*Tabel16[[#This Row],[JUMLAH]]</f>
        <v>1680000</v>
      </c>
    </row>
    <row r="17" spans="1:7" x14ac:dyDescent="0.35">
      <c r="A17">
        <v>6</v>
      </c>
      <c r="B17" s="1">
        <v>45964</v>
      </c>
      <c r="C17" t="str">
        <f>IF(Tabel16[[#This Row],[TANGGAL]]="","",TEXT(Tabel16[[#This Row],[TANGGAL]],"DDDD"))</f>
        <v>Senin</v>
      </c>
      <c r="D17" t="s">
        <v>103</v>
      </c>
      <c r="E17">
        <v>5</v>
      </c>
      <c r="F17" s="2">
        <v>280000</v>
      </c>
      <c r="G17" s="2">
        <f>Tabel16[[#This Row],[HARGA]]*Tabel16[[#This Row],[JUMLAH]]</f>
        <v>1400000</v>
      </c>
    </row>
    <row r="18" spans="1:7" x14ac:dyDescent="0.35">
      <c r="A18">
        <v>7</v>
      </c>
      <c r="B18" s="1">
        <v>45965</v>
      </c>
      <c r="C18" t="str">
        <f>IF(Tabel16[[#This Row],[TANGGAL]]="","",TEXT(Tabel16[[#This Row],[TANGGAL]],"DDDD"))</f>
        <v>Selasa</v>
      </c>
      <c r="D18" t="s">
        <v>103</v>
      </c>
      <c r="E18">
        <v>8</v>
      </c>
      <c r="F18" s="2">
        <v>280000</v>
      </c>
      <c r="G18" s="2">
        <f>Tabel16[[#This Row],[HARGA]]*Tabel16[[#This Row],[JUMLAH]]</f>
        <v>2240000</v>
      </c>
    </row>
    <row r="19" spans="1:7" x14ac:dyDescent="0.35">
      <c r="A19">
        <v>8</v>
      </c>
      <c r="B19" s="1">
        <v>45966</v>
      </c>
      <c r="C19" t="str">
        <f>IF(Tabel16[[#This Row],[TANGGAL]]="","",TEXT(Tabel16[[#This Row],[TANGGAL]],"DDDD"))</f>
        <v>Rabu</v>
      </c>
      <c r="D19" t="s">
        <v>103</v>
      </c>
      <c r="E19">
        <v>2</v>
      </c>
      <c r="F19" s="2">
        <v>280000</v>
      </c>
      <c r="G19" s="2">
        <f>Tabel16[[#This Row],[HARGA]]*Tabel16[[#This Row],[JUMLAH]]</f>
        <v>560000</v>
      </c>
    </row>
    <row r="20" spans="1:7" x14ac:dyDescent="0.35">
      <c r="A20">
        <v>9</v>
      </c>
      <c r="B20" s="1">
        <v>45967</v>
      </c>
      <c r="C20" t="str">
        <f>IF(Tabel16[[#This Row],[TANGGAL]]="","",TEXT(Tabel16[[#This Row],[TANGGAL]],"DDDD"))</f>
        <v>Kamis</v>
      </c>
      <c r="D20" t="s">
        <v>103</v>
      </c>
      <c r="E20">
        <v>1</v>
      </c>
      <c r="F20" s="2">
        <v>280000</v>
      </c>
      <c r="G20" s="2">
        <f>Tabel16[[#This Row],[HARGA]]*Tabel16[[#This Row],[JUMLAH]]</f>
        <v>280000</v>
      </c>
    </row>
    <row r="21" spans="1:7" x14ac:dyDescent="0.35">
      <c r="A21">
        <v>10</v>
      </c>
      <c r="B21" s="1">
        <v>45968</v>
      </c>
      <c r="C21" t="str">
        <f>IF(Tabel16[[#This Row],[TANGGAL]]="","",TEXT(Tabel16[[#This Row],[TANGGAL]],"DDDD"))</f>
        <v>Jumat</v>
      </c>
      <c r="D21" t="s">
        <v>103</v>
      </c>
      <c r="E21">
        <v>1</v>
      </c>
      <c r="F21" s="2">
        <v>280000</v>
      </c>
      <c r="G21" s="2">
        <f>Tabel16[[#This Row],[HARGA]]*Tabel16[[#This Row],[JUMLAH]]</f>
        <v>280000</v>
      </c>
    </row>
    <row r="22" spans="1:7" x14ac:dyDescent="0.35">
      <c r="A22">
        <v>11</v>
      </c>
      <c r="B22" s="1">
        <v>45969</v>
      </c>
      <c r="C22" t="str">
        <f>IF(Tabel16[[#This Row],[TANGGAL]]="","",TEXT(Tabel16[[#This Row],[TANGGAL]],"DDDD"))</f>
        <v>Sabtu</v>
      </c>
      <c r="D22" t="s">
        <v>103</v>
      </c>
      <c r="E22">
        <v>5</v>
      </c>
      <c r="F22" s="2">
        <v>280000</v>
      </c>
      <c r="G22" s="2">
        <f>Tabel16[[#This Row],[HARGA]]*Tabel16[[#This Row],[JUMLAH]]</f>
        <v>1400000</v>
      </c>
    </row>
    <row r="23" spans="1:7" x14ac:dyDescent="0.35">
      <c r="A23">
        <v>12</v>
      </c>
      <c r="B23" s="1">
        <v>45970</v>
      </c>
      <c r="C23" t="str">
        <f>IF(Tabel16[[#This Row],[TANGGAL]]="","",TEXT(Tabel16[[#This Row],[TANGGAL]],"DDDD"))</f>
        <v>Minggu</v>
      </c>
      <c r="D23" t="s">
        <v>103</v>
      </c>
      <c r="E23">
        <v>4</v>
      </c>
      <c r="F23" s="2">
        <v>280000</v>
      </c>
      <c r="G23" s="2">
        <f>Tabel16[[#This Row],[HARGA]]*Tabel16[[#This Row],[JUMLAH]]</f>
        <v>1120000</v>
      </c>
    </row>
    <row r="24" spans="1:7" x14ac:dyDescent="0.35">
      <c r="A24">
        <v>13</v>
      </c>
      <c r="B24" s="1">
        <v>45971</v>
      </c>
      <c r="C24" t="str">
        <f>IF(Tabel16[[#This Row],[TANGGAL]]="","",TEXT(Tabel16[[#This Row],[TANGGAL]],"DDDD"))</f>
        <v>Senin</v>
      </c>
      <c r="D24" t="s">
        <v>103</v>
      </c>
      <c r="E24">
        <v>10</v>
      </c>
      <c r="F24" s="2">
        <v>280000</v>
      </c>
      <c r="G24" s="2">
        <f>Tabel16[[#This Row],[HARGA]]*Tabel16[[#This Row],[JUMLAH]]</f>
        <v>2800000</v>
      </c>
    </row>
    <row r="25" spans="1:7" x14ac:dyDescent="0.35">
      <c r="A25">
        <v>14</v>
      </c>
      <c r="B25" s="1">
        <v>45972</v>
      </c>
      <c r="C25" t="str">
        <f>IF(Tabel16[[#This Row],[TANGGAL]]="","",TEXT(Tabel16[[#This Row],[TANGGAL]],"DDDD"))</f>
        <v>Selasa</v>
      </c>
      <c r="D25" t="s">
        <v>103</v>
      </c>
      <c r="E25">
        <v>9</v>
      </c>
      <c r="F25" s="2">
        <v>280000</v>
      </c>
      <c r="G25" s="2">
        <f>Tabel16[[#This Row],[HARGA]]*Tabel16[[#This Row],[JUMLAH]]</f>
        <v>2520000</v>
      </c>
    </row>
    <row r="26" spans="1:7" x14ac:dyDescent="0.35">
      <c r="A26">
        <v>15</v>
      </c>
      <c r="B26" s="1">
        <v>45973</v>
      </c>
      <c r="C26" t="str">
        <f>IF(Tabel16[[#This Row],[TANGGAL]]="","",TEXT(Tabel16[[#This Row],[TANGGAL]],"DDDD"))</f>
        <v>Rabu</v>
      </c>
      <c r="D26" t="s">
        <v>103</v>
      </c>
      <c r="E26">
        <v>3</v>
      </c>
      <c r="F26" s="2">
        <v>280000</v>
      </c>
      <c r="G26" s="2">
        <f>Tabel16[[#This Row],[HARGA]]*Tabel16[[#This Row],[JUMLAH]]</f>
        <v>840000</v>
      </c>
    </row>
    <row r="27" spans="1:7" x14ac:dyDescent="0.35">
      <c r="A27">
        <v>16</v>
      </c>
      <c r="B27" s="1">
        <v>45974</v>
      </c>
      <c r="C27" t="str">
        <f>IF(Tabel16[[#This Row],[TANGGAL]]="","",TEXT(Tabel16[[#This Row],[TANGGAL]],"DDDD"))</f>
        <v>Kamis</v>
      </c>
      <c r="D27" t="s">
        <v>103</v>
      </c>
      <c r="E27">
        <v>1</v>
      </c>
      <c r="F27" s="2">
        <v>280000</v>
      </c>
      <c r="G27" s="2">
        <f>Tabel16[[#This Row],[HARGA]]*Tabel16[[#This Row],[JUMLAH]]</f>
        <v>280000</v>
      </c>
    </row>
    <row r="28" spans="1:7" x14ac:dyDescent="0.35">
      <c r="A28">
        <v>17</v>
      </c>
      <c r="B28" s="1">
        <v>45975</v>
      </c>
      <c r="C28" t="str">
        <f>IF(Tabel16[[#This Row],[TANGGAL]]="","",TEXT(Tabel16[[#This Row],[TANGGAL]],"DDDD"))</f>
        <v>Jumat</v>
      </c>
      <c r="D28" t="s">
        <v>103</v>
      </c>
      <c r="E28">
        <v>8</v>
      </c>
      <c r="F28" s="2">
        <v>280000</v>
      </c>
      <c r="G28" s="2">
        <f>Tabel16[[#This Row],[HARGA]]*Tabel16[[#This Row],[JUMLAH]]</f>
        <v>2240000</v>
      </c>
    </row>
    <row r="29" spans="1:7" x14ac:dyDescent="0.35">
      <c r="A29">
        <v>18</v>
      </c>
      <c r="B29" s="1">
        <v>45976</v>
      </c>
      <c r="C29" t="str">
        <f>IF(Tabel16[[#This Row],[TANGGAL]]="","",TEXT(Tabel16[[#This Row],[TANGGAL]],"DDDD"))</f>
        <v>Sabtu</v>
      </c>
      <c r="D29" t="s">
        <v>103</v>
      </c>
      <c r="E29">
        <v>21</v>
      </c>
      <c r="F29" s="2">
        <v>280000</v>
      </c>
      <c r="G29" s="2">
        <f>Tabel16[[#This Row],[HARGA]]*Tabel16[[#This Row],[JUMLAH]]</f>
        <v>5880000</v>
      </c>
    </row>
    <row r="30" spans="1:7" x14ac:dyDescent="0.35">
      <c r="A30">
        <v>19</v>
      </c>
      <c r="B30" s="1">
        <v>45977</v>
      </c>
      <c r="C30" t="str">
        <f>IF(Tabel16[[#This Row],[TANGGAL]]="","",TEXT(Tabel16[[#This Row],[TANGGAL]],"DDDD"))</f>
        <v>Minggu</v>
      </c>
      <c r="D30" t="s">
        <v>103</v>
      </c>
      <c r="E30">
        <v>19</v>
      </c>
      <c r="F30" s="2">
        <v>280000</v>
      </c>
      <c r="G30" s="2">
        <f>Tabel16[[#This Row],[HARGA]]*Tabel16[[#This Row],[JUMLAH]]</f>
        <v>5320000</v>
      </c>
    </row>
    <row r="31" spans="1:7" x14ac:dyDescent="0.35">
      <c r="A31">
        <v>20</v>
      </c>
      <c r="B31" s="1">
        <v>45978</v>
      </c>
      <c r="C31" t="str">
        <f>IF(Tabel16[[#This Row],[TANGGAL]]="","",TEXT(Tabel16[[#This Row],[TANGGAL]],"DDDD"))</f>
        <v>Senin</v>
      </c>
      <c r="D31" t="s">
        <v>103</v>
      </c>
      <c r="E31">
        <v>29</v>
      </c>
      <c r="F31" s="2">
        <v>280000</v>
      </c>
      <c r="G31" s="2">
        <f>Tabel16[[#This Row],[HARGA]]*Tabel16[[#This Row],[JUMLAH]]</f>
        <v>8120000</v>
      </c>
    </row>
    <row r="32" spans="1:7" x14ac:dyDescent="0.35">
      <c r="A32">
        <v>21</v>
      </c>
      <c r="B32" s="1">
        <v>45979</v>
      </c>
      <c r="C32" t="str">
        <f>IF(Tabel16[[#This Row],[TANGGAL]]="","",TEXT(Tabel16[[#This Row],[TANGGAL]],"DDDD"))</f>
        <v>Selasa</v>
      </c>
      <c r="D32" t="s">
        <v>103</v>
      </c>
      <c r="E32">
        <v>9</v>
      </c>
      <c r="F32" s="2">
        <v>280000</v>
      </c>
      <c r="G32" s="2">
        <f>Tabel16[[#This Row],[HARGA]]*Tabel16[[#This Row],[JUMLAH]]</f>
        <v>2520000</v>
      </c>
    </row>
  </sheetData>
  <mergeCells count="6">
    <mergeCell ref="A3:E4"/>
    <mergeCell ref="A5:B5"/>
    <mergeCell ref="D5:E5"/>
    <mergeCell ref="A6:B7"/>
    <mergeCell ref="C6:C7"/>
    <mergeCell ref="D6:E7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3C34E-C786-4AED-BAFF-5C11E9BE2FED}">
  <dimension ref="B1:L308"/>
  <sheetViews>
    <sheetView tabSelected="1" topLeftCell="A2" zoomScale="70" zoomScaleNormal="70" workbookViewId="0">
      <selection activeCell="L302" sqref="L302"/>
    </sheetView>
  </sheetViews>
  <sheetFormatPr defaultRowHeight="14.5" x14ac:dyDescent="0.35"/>
  <cols>
    <col min="3" max="3" width="13.54296875" customWidth="1"/>
    <col min="4" max="4" width="12.54296875" style="7" customWidth="1"/>
    <col min="5" max="5" width="35" style="7" customWidth="1"/>
    <col min="6" max="6" width="26.1796875" style="5" customWidth="1"/>
    <col min="7" max="7" width="75.81640625" style="7" customWidth="1"/>
    <col min="9" max="9" width="14.90625" bestFit="1" customWidth="1"/>
    <col min="10" max="10" width="15.90625" bestFit="1" customWidth="1"/>
    <col min="12" max="12" width="14.90625" bestFit="1" customWidth="1"/>
  </cols>
  <sheetData>
    <row r="1" spans="2:7" hidden="1" x14ac:dyDescent="0.35"/>
    <row r="2" spans="2:7" s="9" customFormat="1" ht="29.5" customHeight="1" x14ac:dyDescent="0.35">
      <c r="B2" s="48" t="s">
        <v>18</v>
      </c>
      <c r="C2" s="48"/>
      <c r="D2" s="48"/>
      <c r="F2" s="48" t="s">
        <v>21</v>
      </c>
      <c r="G2" s="48"/>
    </row>
    <row r="3" spans="2:7" x14ac:dyDescent="0.35">
      <c r="B3" s="49">
        <f>SUM(Tabel3[TOTAL BAYAR])</f>
        <v>302348000</v>
      </c>
      <c r="C3" s="50"/>
      <c r="D3" s="50"/>
      <c r="F3" s="51" t="s">
        <v>0</v>
      </c>
      <c r="G3" s="52"/>
    </row>
    <row r="4" spans="2:7" x14ac:dyDescent="0.35">
      <c r="B4" s="50"/>
      <c r="C4" s="50"/>
      <c r="D4" s="50"/>
      <c r="F4" s="53"/>
      <c r="G4" s="54"/>
    </row>
    <row r="6" spans="2:7" ht="15.5" x14ac:dyDescent="0.35">
      <c r="B6" s="6" t="s">
        <v>1</v>
      </c>
      <c r="C6" s="6" t="s">
        <v>3</v>
      </c>
      <c r="D6" s="6" t="s">
        <v>14</v>
      </c>
      <c r="E6" s="6" t="s">
        <v>19</v>
      </c>
      <c r="F6" s="10" t="s">
        <v>4</v>
      </c>
      <c r="G6" s="6" t="s">
        <v>5</v>
      </c>
    </row>
    <row r="7" spans="2:7" ht="15.5" x14ac:dyDescent="0.35">
      <c r="B7" s="8">
        <v>1</v>
      </c>
      <c r="C7" s="15">
        <v>45941</v>
      </c>
      <c r="D7" s="14" t="str">
        <f>IF(Tabel3[[#This Row],[TANGGAL ]]="","",TEXT(Tabel3[[#This Row],[TANGGAL ]],"DDDD"))</f>
        <v>Sabtu</v>
      </c>
      <c r="E7" s="14" t="s">
        <v>180</v>
      </c>
      <c r="F7" s="16">
        <v>1100000</v>
      </c>
      <c r="G7" s="14" t="s">
        <v>35</v>
      </c>
    </row>
    <row r="8" spans="2:7" ht="15.5" x14ac:dyDescent="0.35">
      <c r="B8" s="8">
        <v>2</v>
      </c>
      <c r="C8" s="15">
        <v>45941</v>
      </c>
      <c r="D8" s="14" t="str">
        <f>IF(Tabel3[[#This Row],[TANGGAL ]]="","",TEXT(Tabel3[[#This Row],[TANGGAL ]],"DDDD"))</f>
        <v>Sabtu</v>
      </c>
      <c r="E8" s="14" t="s">
        <v>181</v>
      </c>
      <c r="F8" s="16">
        <v>2300000</v>
      </c>
      <c r="G8" s="14" t="s">
        <v>36</v>
      </c>
    </row>
    <row r="9" spans="2:7" ht="15.5" x14ac:dyDescent="0.35">
      <c r="B9" s="8">
        <v>3</v>
      </c>
      <c r="C9" s="15">
        <v>45941</v>
      </c>
      <c r="D9" s="14" t="str">
        <f>IF(Tabel3[[#This Row],[TANGGAL ]]="","",TEXT(Tabel3[[#This Row],[TANGGAL ]],"DDDD"))</f>
        <v>Sabtu</v>
      </c>
      <c r="E9" s="14" t="s">
        <v>182</v>
      </c>
      <c r="F9" s="16">
        <v>1500000</v>
      </c>
      <c r="G9" s="14" t="s">
        <v>38</v>
      </c>
    </row>
    <row r="10" spans="2:7" ht="15.5" x14ac:dyDescent="0.35">
      <c r="B10" s="8">
        <v>4</v>
      </c>
      <c r="C10" s="15">
        <v>45942</v>
      </c>
      <c r="D10" s="14" t="str">
        <f>IF(Tabel3[[#This Row],[TANGGAL ]]="","",TEXT(Tabel3[[#This Row],[TANGGAL ]],"DDDD"))</f>
        <v>Minggu</v>
      </c>
      <c r="E10" s="14" t="s">
        <v>183</v>
      </c>
      <c r="F10" s="16">
        <v>1175000</v>
      </c>
      <c r="G10" s="14" t="s">
        <v>37</v>
      </c>
    </row>
    <row r="11" spans="2:7" ht="15.5" x14ac:dyDescent="0.35">
      <c r="B11" s="8">
        <v>5</v>
      </c>
      <c r="C11" s="15">
        <v>45943</v>
      </c>
      <c r="D11" s="14" t="str">
        <f>IF(Tabel3[[#This Row],[TANGGAL ]]="","",TEXT(Tabel3[[#This Row],[TANGGAL ]],"DDDD"))</f>
        <v>Senin</v>
      </c>
      <c r="E11" s="14" t="s">
        <v>184</v>
      </c>
      <c r="F11" s="16">
        <v>1025000</v>
      </c>
      <c r="G11" s="14" t="s">
        <v>32</v>
      </c>
    </row>
    <row r="12" spans="2:7" ht="14" customHeight="1" x14ac:dyDescent="0.35">
      <c r="B12" s="8">
        <v>6</v>
      </c>
      <c r="C12" s="15">
        <v>45943</v>
      </c>
      <c r="D12" s="14" t="str">
        <f>IF(Tabel3[[#This Row],[TANGGAL ]]="","",TEXT(Tabel3[[#This Row],[TANGGAL ]],"DDDD"))</f>
        <v>Senin</v>
      </c>
      <c r="E12" s="14" t="s">
        <v>185</v>
      </c>
      <c r="F12" s="16">
        <v>33000000</v>
      </c>
      <c r="G12" s="14" t="s">
        <v>33</v>
      </c>
    </row>
    <row r="13" spans="2:7" ht="15.5" x14ac:dyDescent="0.35">
      <c r="B13" s="8">
        <v>7</v>
      </c>
      <c r="C13" s="15">
        <v>45944</v>
      </c>
      <c r="D13" s="14" t="str">
        <f>IF(Tabel3[[#This Row],[TANGGAL ]]="","",TEXT(Tabel3[[#This Row],[TANGGAL ]],"DDDD"))</f>
        <v>Selasa</v>
      </c>
      <c r="E13" s="14" t="s">
        <v>6</v>
      </c>
      <c r="F13" s="16">
        <v>300000</v>
      </c>
      <c r="G13" s="14" t="s">
        <v>7</v>
      </c>
    </row>
    <row r="14" spans="2:7" ht="15.5" x14ac:dyDescent="0.35">
      <c r="B14" s="8">
        <v>8</v>
      </c>
      <c r="C14" s="15">
        <v>45944</v>
      </c>
      <c r="D14" s="14" t="str">
        <f>IF(Tabel3[[#This Row],[TANGGAL ]]="","",TEXT(Tabel3[[#This Row],[TANGGAL ]],"DDDD"))</f>
        <v>Selasa</v>
      </c>
      <c r="E14" s="14" t="s">
        <v>20</v>
      </c>
      <c r="F14" s="16">
        <v>100000</v>
      </c>
      <c r="G14" s="14" t="s">
        <v>23</v>
      </c>
    </row>
    <row r="15" spans="2:7" ht="15.5" x14ac:dyDescent="0.35">
      <c r="B15" s="8">
        <v>9</v>
      </c>
      <c r="C15" s="15">
        <v>45944</v>
      </c>
      <c r="D15" s="14" t="str">
        <f>IF(Tabel3[[#This Row],[TANGGAL ]]="","",TEXT(Tabel3[[#This Row],[TANGGAL ]],"DDDD"))</f>
        <v>Selasa</v>
      </c>
      <c r="E15" s="14" t="s">
        <v>20</v>
      </c>
      <c r="F15" s="16">
        <v>100000</v>
      </c>
      <c r="G15" s="14" t="s">
        <v>8</v>
      </c>
    </row>
    <row r="16" spans="2:7" ht="15.5" x14ac:dyDescent="0.35">
      <c r="B16" s="8">
        <v>10</v>
      </c>
      <c r="C16" s="15">
        <v>45944</v>
      </c>
      <c r="D16" s="14" t="str">
        <f>IF(Tabel3[[#This Row],[TANGGAL ]]="","",TEXT(Tabel3[[#This Row],[TANGGAL ]],"DDDD"))</f>
        <v>Selasa</v>
      </c>
      <c r="E16" s="14" t="s">
        <v>20</v>
      </c>
      <c r="F16" s="16">
        <v>100000</v>
      </c>
      <c r="G16" s="14" t="s">
        <v>9</v>
      </c>
    </row>
    <row r="17" spans="2:7" ht="15.5" x14ac:dyDescent="0.35">
      <c r="B17" s="8">
        <v>11</v>
      </c>
      <c r="C17" s="15">
        <v>45944</v>
      </c>
      <c r="D17" s="14" t="str">
        <f>IF(Tabel3[[#This Row],[TANGGAL ]]="","",TEXT(Tabel3[[#This Row],[TANGGAL ]],"DDDD"))</f>
        <v>Selasa</v>
      </c>
      <c r="E17" s="14" t="s">
        <v>22</v>
      </c>
      <c r="F17" s="16">
        <v>150000</v>
      </c>
      <c r="G17" s="14" t="s">
        <v>24</v>
      </c>
    </row>
    <row r="18" spans="2:7" ht="15.5" x14ac:dyDescent="0.35">
      <c r="B18" s="8">
        <v>12</v>
      </c>
      <c r="C18" s="15">
        <v>45944</v>
      </c>
      <c r="D18" s="14" t="str">
        <f>IF(Tabel3[[#This Row],[TANGGAL ]]="","",TEXT(Tabel3[[#This Row],[TANGGAL ]],"DDDD"))</f>
        <v>Selasa</v>
      </c>
      <c r="E18" s="14" t="s">
        <v>184</v>
      </c>
      <c r="F18" s="16">
        <v>3640000</v>
      </c>
      <c r="G18" s="14" t="s">
        <v>25</v>
      </c>
    </row>
    <row r="19" spans="2:7" ht="15.5" x14ac:dyDescent="0.35">
      <c r="B19" s="8">
        <v>13</v>
      </c>
      <c r="C19" s="15">
        <v>45944</v>
      </c>
      <c r="D19" s="14" t="str">
        <f>IF(Tabel3[[#This Row],[TANGGAL ]]="","",TEXT(Tabel3[[#This Row],[TANGGAL ]],"DDDD"))</f>
        <v>Selasa</v>
      </c>
      <c r="E19" s="14" t="s">
        <v>186</v>
      </c>
      <c r="F19" s="16">
        <v>2000000</v>
      </c>
      <c r="G19" s="14" t="s">
        <v>30</v>
      </c>
    </row>
    <row r="20" spans="2:7" ht="15.5" x14ac:dyDescent="0.35">
      <c r="B20" s="8">
        <v>14</v>
      </c>
      <c r="C20" s="15">
        <v>45944</v>
      </c>
      <c r="D20" s="14" t="str">
        <f>IF(Tabel3[[#This Row],[TANGGAL ]]="","",TEXT(Tabel3[[#This Row],[TANGGAL ]],"DDDD"))</f>
        <v>Selasa</v>
      </c>
      <c r="E20" s="14" t="s">
        <v>187</v>
      </c>
      <c r="F20" s="16">
        <v>3500000</v>
      </c>
      <c r="G20" s="14" t="s">
        <v>31</v>
      </c>
    </row>
    <row r="21" spans="2:7" ht="15.5" x14ac:dyDescent="0.35">
      <c r="B21" s="8">
        <v>15</v>
      </c>
      <c r="C21" s="15">
        <v>45945</v>
      </c>
      <c r="D21" s="14" t="str">
        <f>IF(Tabel3[[#This Row],[TANGGAL ]]="","",TEXT(Tabel3[[#This Row],[TANGGAL ]],"DDDD"))</f>
        <v>Rabu</v>
      </c>
      <c r="E21" s="14" t="s">
        <v>6</v>
      </c>
      <c r="F21" s="16">
        <v>200000</v>
      </c>
      <c r="G21" s="14" t="s">
        <v>26</v>
      </c>
    </row>
    <row r="22" spans="2:7" ht="15.5" x14ac:dyDescent="0.35">
      <c r="B22" s="8">
        <v>16</v>
      </c>
      <c r="C22" s="15">
        <v>45945</v>
      </c>
      <c r="D22" s="14" t="str">
        <f>IF(Tabel3[[#This Row],[TANGGAL ]]="","",TEXT(Tabel3[[#This Row],[TANGGAL ]],"DDDD"))</f>
        <v>Rabu</v>
      </c>
      <c r="E22" s="14" t="s">
        <v>6</v>
      </c>
      <c r="F22" s="16">
        <v>200000</v>
      </c>
      <c r="G22" s="14" t="s">
        <v>27</v>
      </c>
    </row>
    <row r="23" spans="2:7" ht="15.5" x14ac:dyDescent="0.35">
      <c r="B23" s="8">
        <v>17</v>
      </c>
      <c r="C23" s="15">
        <v>45945</v>
      </c>
      <c r="D23" s="14" t="str">
        <f>IF(Tabel3[[#This Row],[TANGGAL ]]="","",TEXT(Tabel3[[#This Row],[TANGGAL ]],"DDDD"))</f>
        <v>Rabu</v>
      </c>
      <c r="E23" s="14" t="s">
        <v>20</v>
      </c>
      <c r="F23" s="16">
        <v>100000</v>
      </c>
      <c r="G23" s="14" t="s">
        <v>23</v>
      </c>
    </row>
    <row r="24" spans="2:7" ht="15.5" x14ac:dyDescent="0.35">
      <c r="B24" s="8">
        <v>18</v>
      </c>
      <c r="C24" s="15">
        <v>45945</v>
      </c>
      <c r="D24" s="14" t="str">
        <f>IF(Tabel3[[#This Row],[TANGGAL ]]="","",TEXT(Tabel3[[#This Row],[TANGGAL ]],"DDDD"))</f>
        <v>Rabu</v>
      </c>
      <c r="E24" s="14" t="s">
        <v>22</v>
      </c>
      <c r="F24" s="16">
        <v>125000</v>
      </c>
      <c r="G24" s="14" t="s">
        <v>28</v>
      </c>
    </row>
    <row r="25" spans="2:7" ht="15.5" x14ac:dyDescent="0.35">
      <c r="B25" s="8">
        <v>19</v>
      </c>
      <c r="C25" s="15">
        <v>45945</v>
      </c>
      <c r="D25" s="14" t="str">
        <f>IF(Tabel3[[#This Row],[TANGGAL ]]="","",TEXT(Tabel3[[#This Row],[TANGGAL ]],"DDDD"))</f>
        <v>Rabu</v>
      </c>
      <c r="E25" s="14" t="s">
        <v>188</v>
      </c>
      <c r="F25" s="16">
        <v>75000</v>
      </c>
      <c r="G25" s="14" t="s">
        <v>29</v>
      </c>
    </row>
    <row r="26" spans="2:7" ht="15.5" x14ac:dyDescent="0.35">
      <c r="B26" s="8">
        <v>20</v>
      </c>
      <c r="C26" s="15">
        <v>45945</v>
      </c>
      <c r="D26" s="14" t="str">
        <f>IF(Tabel3[[#This Row],[TANGGAL ]]="","",TEXT(Tabel3[[#This Row],[TANGGAL ]],"DDDD"))</f>
        <v>Rabu</v>
      </c>
      <c r="E26" s="14" t="s">
        <v>189</v>
      </c>
      <c r="F26" s="16">
        <f>250000+188000+300000+200000</f>
        <v>938000</v>
      </c>
      <c r="G26" s="14" t="s">
        <v>34</v>
      </c>
    </row>
    <row r="27" spans="2:7" ht="15.5" x14ac:dyDescent="0.35">
      <c r="B27" s="8">
        <v>21</v>
      </c>
      <c r="C27" s="15">
        <v>45946</v>
      </c>
      <c r="D27" s="14" t="str">
        <f>IF(Tabel3[[#This Row],[TANGGAL ]]="","",TEXT(Tabel3[[#This Row],[TANGGAL ]],"DDDD"))</f>
        <v>Kamis</v>
      </c>
      <c r="E27" s="14" t="s">
        <v>6</v>
      </c>
      <c r="F27" s="16">
        <v>200000</v>
      </c>
      <c r="G27" s="14" t="s">
        <v>7</v>
      </c>
    </row>
    <row r="28" spans="2:7" ht="15.5" x14ac:dyDescent="0.35">
      <c r="B28" s="8">
        <v>22</v>
      </c>
      <c r="C28" s="15">
        <v>45946</v>
      </c>
      <c r="D28" s="14" t="str">
        <f>IF(Tabel3[[#This Row],[TANGGAL ]]="","",TEXT(Tabel3[[#This Row],[TANGGAL ]],"DDDD"))</f>
        <v>Kamis</v>
      </c>
      <c r="E28" s="14" t="s">
        <v>6</v>
      </c>
      <c r="F28" s="16">
        <v>200000</v>
      </c>
      <c r="G28" s="14" t="s">
        <v>40</v>
      </c>
    </row>
    <row r="29" spans="2:7" ht="15.5" x14ac:dyDescent="0.35">
      <c r="B29" s="8">
        <v>23</v>
      </c>
      <c r="C29" s="15">
        <v>45946</v>
      </c>
      <c r="D29" s="14" t="str">
        <f>IF(Tabel3[[#This Row],[TANGGAL ]]="","",TEXT(Tabel3[[#This Row],[TANGGAL ]],"DDDD"))</f>
        <v>Kamis</v>
      </c>
      <c r="E29" s="14" t="s">
        <v>39</v>
      </c>
      <c r="F29" s="16">
        <v>100000</v>
      </c>
      <c r="G29" s="14" t="s">
        <v>41</v>
      </c>
    </row>
    <row r="30" spans="2:7" ht="15.5" x14ac:dyDescent="0.35">
      <c r="B30" s="8">
        <v>24</v>
      </c>
      <c r="C30" s="15">
        <v>45946</v>
      </c>
      <c r="D30" s="14" t="str">
        <f>IF(Tabel3[[#This Row],[TANGGAL ]]="","",TEXT(Tabel3[[#This Row],[TANGGAL ]],"DDDD"))</f>
        <v>Kamis</v>
      </c>
      <c r="E30" s="14" t="s">
        <v>44</v>
      </c>
      <c r="F30" s="16">
        <v>100000</v>
      </c>
      <c r="G30" s="14" t="s">
        <v>43</v>
      </c>
    </row>
    <row r="31" spans="2:7" ht="15.5" x14ac:dyDescent="0.35">
      <c r="B31" s="8">
        <v>25</v>
      </c>
      <c r="C31" s="15">
        <v>45946</v>
      </c>
      <c r="D31" s="14" t="str">
        <f>IF(Tabel3[[#This Row],[TANGGAL ]]="","",TEXT(Tabel3[[#This Row],[TANGGAL ]],"DDDD"))</f>
        <v>Kamis</v>
      </c>
      <c r="E31" s="14" t="s">
        <v>22</v>
      </c>
      <c r="F31" s="16">
        <v>100000</v>
      </c>
      <c r="G31" s="14" t="s">
        <v>42</v>
      </c>
    </row>
    <row r="32" spans="2:7" ht="15.5" x14ac:dyDescent="0.35">
      <c r="B32" s="8">
        <v>26</v>
      </c>
      <c r="C32" s="15">
        <v>45948</v>
      </c>
      <c r="D32" s="14" t="str">
        <f>IF(Tabel3[[#This Row],[TANGGAL ]]="","",TEXT(Tabel3[[#This Row],[TANGGAL ]],"DDDD"))</f>
        <v>Sabtu</v>
      </c>
      <c r="E32" s="14" t="s">
        <v>6</v>
      </c>
      <c r="F32" s="16">
        <v>200000</v>
      </c>
      <c r="G32" s="14" t="s">
        <v>45</v>
      </c>
    </row>
    <row r="33" spans="2:12" ht="15.5" x14ac:dyDescent="0.35">
      <c r="B33" s="8">
        <v>27</v>
      </c>
      <c r="C33" s="15">
        <v>45948</v>
      </c>
      <c r="D33" s="14" t="str">
        <f>IF(Tabel3[[#This Row],[TANGGAL ]]="","",TEXT(Tabel3[[#This Row],[TANGGAL ]],"DDDD"))</f>
        <v>Sabtu</v>
      </c>
      <c r="E33" s="14" t="s">
        <v>6</v>
      </c>
      <c r="F33" s="16">
        <v>200000</v>
      </c>
      <c r="G33" s="14" t="s">
        <v>45</v>
      </c>
    </row>
    <row r="34" spans="2:12" ht="15.5" x14ac:dyDescent="0.35">
      <c r="B34" s="8">
        <v>28</v>
      </c>
      <c r="C34" s="15">
        <v>45948</v>
      </c>
      <c r="D34" s="14" t="str">
        <f>IF(Tabel3[[#This Row],[TANGGAL ]]="","",TEXT(Tabel3[[#This Row],[TANGGAL ]],"DDDD"))</f>
        <v>Sabtu</v>
      </c>
      <c r="E34" s="14" t="s">
        <v>39</v>
      </c>
      <c r="F34" s="16">
        <v>100000</v>
      </c>
      <c r="G34" s="14" t="s">
        <v>46</v>
      </c>
    </row>
    <row r="35" spans="2:12" ht="15.5" x14ac:dyDescent="0.35">
      <c r="B35" s="8">
        <v>29</v>
      </c>
      <c r="C35" s="15">
        <v>45948</v>
      </c>
      <c r="D35" s="14" t="str">
        <f>IF(Tabel3[[#This Row],[TANGGAL ]]="","",TEXT(Tabel3[[#This Row],[TANGGAL ]],"DDDD"))</f>
        <v>Sabtu</v>
      </c>
      <c r="E35" s="14" t="s">
        <v>44</v>
      </c>
      <c r="F35" s="16">
        <v>100000</v>
      </c>
      <c r="G35" s="14" t="s">
        <v>47</v>
      </c>
    </row>
    <row r="36" spans="2:12" ht="15.5" x14ac:dyDescent="0.35">
      <c r="B36" s="8">
        <v>30</v>
      </c>
      <c r="C36" s="15">
        <v>45948</v>
      </c>
      <c r="D36" s="14" t="str">
        <f>IF(Tabel3[[#This Row],[TANGGAL ]]="","",TEXT(Tabel3[[#This Row],[TANGGAL ]],"DDDD"))</f>
        <v>Sabtu</v>
      </c>
      <c r="E36" s="14" t="s">
        <v>22</v>
      </c>
      <c r="F36" s="16">
        <v>200000</v>
      </c>
      <c r="G36" s="14" t="s">
        <v>48</v>
      </c>
    </row>
    <row r="37" spans="2:12" ht="15.5" x14ac:dyDescent="0.35">
      <c r="B37" s="8">
        <v>31</v>
      </c>
      <c r="C37" s="15">
        <v>45948</v>
      </c>
      <c r="D37" s="14" t="str">
        <f>IF(Tabel3[[#This Row],[TANGGAL ]]="","",TEXT(Tabel3[[#This Row],[TANGGAL ]],"DDDD"))</f>
        <v>Sabtu</v>
      </c>
      <c r="E37" s="14" t="s">
        <v>190</v>
      </c>
      <c r="F37" s="16">
        <v>50000</v>
      </c>
      <c r="G37" s="14" t="s">
        <v>159</v>
      </c>
    </row>
    <row r="38" spans="2:12" ht="15.5" x14ac:dyDescent="0.35">
      <c r="B38" s="8">
        <v>32</v>
      </c>
      <c r="C38" s="15">
        <v>45949</v>
      </c>
      <c r="D38" s="14" t="str">
        <f>IF(Tabel3[[#This Row],[TANGGAL ]]="","",TEXT(Tabel3[[#This Row],[TANGGAL ]],"DDDD"))</f>
        <v>Minggu</v>
      </c>
      <c r="E38" s="14" t="s">
        <v>6</v>
      </c>
      <c r="F38" s="16">
        <v>400000</v>
      </c>
      <c r="G38" s="14" t="s">
        <v>51</v>
      </c>
    </row>
    <row r="39" spans="2:12" ht="15.5" x14ac:dyDescent="0.35">
      <c r="B39" s="8">
        <v>33</v>
      </c>
      <c r="C39" s="15">
        <v>45949</v>
      </c>
      <c r="D39" s="14" t="str">
        <f>IF(Tabel3[[#This Row],[TANGGAL ]]="","",TEXT(Tabel3[[#This Row],[TANGGAL ]],"DDDD"))</f>
        <v>Minggu</v>
      </c>
      <c r="E39" s="14" t="s">
        <v>6</v>
      </c>
      <c r="F39" s="16">
        <v>400000</v>
      </c>
      <c r="G39" s="14" t="s">
        <v>45</v>
      </c>
      <c r="L39" s="2"/>
    </row>
    <row r="40" spans="2:12" ht="15.5" x14ac:dyDescent="0.35">
      <c r="B40" s="8">
        <v>34</v>
      </c>
      <c r="C40" s="15">
        <v>45949</v>
      </c>
      <c r="D40" s="14" t="str">
        <f>IF(Tabel3[[#This Row],[TANGGAL ]]="","",TEXT(Tabel3[[#This Row],[TANGGAL ]],"DDDD"))</f>
        <v>Minggu</v>
      </c>
      <c r="E40" s="14" t="s">
        <v>49</v>
      </c>
      <c r="F40" s="16">
        <v>200000</v>
      </c>
      <c r="G40" s="14" t="s">
        <v>46</v>
      </c>
    </row>
    <row r="41" spans="2:12" ht="15.5" x14ac:dyDescent="0.35">
      <c r="B41" s="8">
        <v>35</v>
      </c>
      <c r="C41" s="15">
        <v>45949</v>
      </c>
      <c r="D41" s="14" t="str">
        <f>IF(Tabel3[[#This Row],[TANGGAL ]]="","",TEXT(Tabel3[[#This Row],[TANGGAL ]],"DDDD"))</f>
        <v>Minggu</v>
      </c>
      <c r="E41" s="14" t="s">
        <v>44</v>
      </c>
      <c r="F41" s="16">
        <v>200000</v>
      </c>
      <c r="G41" s="14" t="s">
        <v>47</v>
      </c>
    </row>
    <row r="42" spans="2:12" ht="15.5" x14ac:dyDescent="0.35">
      <c r="B42" s="8">
        <v>36</v>
      </c>
      <c r="C42" s="15">
        <v>45949</v>
      </c>
      <c r="D42" s="14" t="str">
        <f>IF(Tabel3[[#This Row],[TANGGAL ]]="","",TEXT(Tabel3[[#This Row],[TANGGAL ]],"DDDD"))</f>
        <v>Minggu</v>
      </c>
      <c r="E42" s="14" t="s">
        <v>191</v>
      </c>
      <c r="F42" s="16">
        <v>350000</v>
      </c>
      <c r="G42" s="14" t="s">
        <v>161</v>
      </c>
    </row>
    <row r="43" spans="2:12" ht="15.5" x14ac:dyDescent="0.35">
      <c r="B43" s="8">
        <v>37</v>
      </c>
      <c r="C43" s="15">
        <v>45949</v>
      </c>
      <c r="D43" s="14" t="str">
        <f>IF(Tabel3[[#This Row],[TANGGAL ]]="","",TEXT(Tabel3[[#This Row],[TANGGAL ]],"DDDD"))</f>
        <v>Minggu</v>
      </c>
      <c r="E43" s="14" t="s">
        <v>50</v>
      </c>
      <c r="F43" s="16">
        <v>50000</v>
      </c>
      <c r="G43" s="14" t="s">
        <v>52</v>
      </c>
    </row>
    <row r="44" spans="2:12" ht="15.5" x14ac:dyDescent="0.35">
      <c r="B44" s="8">
        <v>38</v>
      </c>
      <c r="C44" s="15">
        <v>45949</v>
      </c>
      <c r="D44" s="14" t="str">
        <f>IF(Tabel3[[#This Row],[TANGGAL ]]="","",TEXT(Tabel3[[#This Row],[TANGGAL ]],"DDDD"))</f>
        <v>Minggu</v>
      </c>
      <c r="E44" s="14" t="s">
        <v>22</v>
      </c>
      <c r="F44" s="16">
        <v>250000</v>
      </c>
      <c r="G44" s="14" t="s">
        <v>48</v>
      </c>
    </row>
    <row r="45" spans="2:12" ht="15.5" x14ac:dyDescent="0.35">
      <c r="B45" s="8">
        <v>39</v>
      </c>
      <c r="C45" s="15">
        <v>45949</v>
      </c>
      <c r="D45" s="14" t="str">
        <f>IF(Tabel3[[#This Row],[TANGGAL ]]="","",TEXT(Tabel3[[#This Row],[TANGGAL ]],"DDDD"))</f>
        <v>Minggu</v>
      </c>
      <c r="E45" s="14" t="s">
        <v>192</v>
      </c>
      <c r="F45" s="16">
        <v>1000000</v>
      </c>
      <c r="G45" s="14" t="s">
        <v>53</v>
      </c>
    </row>
    <row r="46" spans="2:12" ht="15.5" x14ac:dyDescent="0.35">
      <c r="B46" s="8">
        <v>40</v>
      </c>
      <c r="C46" s="15">
        <v>45950</v>
      </c>
      <c r="D46" s="14" t="str">
        <f>IF(Tabel3[[#This Row],[TANGGAL ]]="","",TEXT(Tabel3[[#This Row],[TANGGAL ]],"DDDD"))</f>
        <v>Senin</v>
      </c>
      <c r="E46" s="14" t="s">
        <v>6</v>
      </c>
      <c r="F46" s="16">
        <v>200000</v>
      </c>
      <c r="G46" s="14" t="s">
        <v>45</v>
      </c>
    </row>
    <row r="47" spans="2:12" ht="15.5" x14ac:dyDescent="0.35">
      <c r="B47" s="8">
        <v>41</v>
      </c>
      <c r="C47" s="15">
        <v>45950</v>
      </c>
      <c r="D47" s="14" t="str">
        <f>IF(Tabel3[[#This Row],[TANGGAL ]]="","",TEXT(Tabel3[[#This Row],[TANGGAL ]],"DDDD"))</f>
        <v>Senin</v>
      </c>
      <c r="E47" s="14" t="s">
        <v>6</v>
      </c>
      <c r="F47" s="16">
        <v>200000</v>
      </c>
      <c r="G47" s="14" t="s">
        <v>51</v>
      </c>
    </row>
    <row r="48" spans="2:12" ht="15.5" x14ac:dyDescent="0.35">
      <c r="B48" s="8">
        <v>42</v>
      </c>
      <c r="C48" s="15">
        <v>45950</v>
      </c>
      <c r="D48" s="14" t="str">
        <f>IF(Tabel3[[#This Row],[TANGGAL ]]="","",TEXT(Tabel3[[#This Row],[TANGGAL ]],"DDDD"))</f>
        <v>Senin</v>
      </c>
      <c r="E48" s="14" t="s">
        <v>49</v>
      </c>
      <c r="F48" s="16">
        <v>100000</v>
      </c>
      <c r="G48" s="14" t="s">
        <v>46</v>
      </c>
    </row>
    <row r="49" spans="2:10" ht="15.5" x14ac:dyDescent="0.35">
      <c r="B49" s="8">
        <v>43</v>
      </c>
      <c r="C49" s="15">
        <v>45950</v>
      </c>
      <c r="D49" s="14" t="str">
        <f>IF(Tabel3[[#This Row],[TANGGAL ]]="","",TEXT(Tabel3[[#This Row],[TANGGAL ]],"DDDD"))</f>
        <v>Senin</v>
      </c>
      <c r="E49" s="14" t="s">
        <v>54</v>
      </c>
      <c r="F49" s="16">
        <v>100000</v>
      </c>
      <c r="G49" s="14" t="s">
        <v>56</v>
      </c>
    </row>
    <row r="50" spans="2:10" ht="15.5" x14ac:dyDescent="0.35">
      <c r="B50" s="8">
        <v>44</v>
      </c>
      <c r="C50" s="15">
        <v>45950</v>
      </c>
      <c r="D50" s="14" t="str">
        <f>IF(Tabel3[[#This Row],[TANGGAL ]]="","",TEXT(Tabel3[[#This Row],[TANGGAL ]],"DDDD"))</f>
        <v>Senin</v>
      </c>
      <c r="E50" s="14" t="s">
        <v>55</v>
      </c>
      <c r="F50" s="16">
        <v>100000</v>
      </c>
      <c r="G50" s="14" t="s">
        <v>57</v>
      </c>
    </row>
    <row r="51" spans="2:10" ht="15.5" x14ac:dyDescent="0.35">
      <c r="B51" s="8">
        <v>45</v>
      </c>
      <c r="C51" s="15">
        <v>45950</v>
      </c>
      <c r="D51" s="14" t="str">
        <f>IF(Tabel3[[#This Row],[TANGGAL ]]="","",TEXT(Tabel3[[#This Row],[TANGGAL ]],"DDDD"))</f>
        <v>Senin</v>
      </c>
      <c r="E51" s="14" t="s">
        <v>193</v>
      </c>
      <c r="F51" s="16">
        <v>150000</v>
      </c>
      <c r="G51" s="14" t="s">
        <v>58</v>
      </c>
    </row>
    <row r="52" spans="2:10" ht="15.5" x14ac:dyDescent="0.35">
      <c r="B52" s="8">
        <v>46</v>
      </c>
      <c r="C52" s="15">
        <v>45951</v>
      </c>
      <c r="D52" s="14" t="str">
        <f>IF(Tabel3[[#This Row],[TANGGAL ]]="","",TEXT(Tabel3[[#This Row],[TANGGAL ]],"DDDD"))</f>
        <v>Selasa</v>
      </c>
      <c r="E52" s="14" t="s">
        <v>6</v>
      </c>
      <c r="F52" s="16">
        <v>400000</v>
      </c>
      <c r="G52" s="14" t="s">
        <v>45</v>
      </c>
    </row>
    <row r="53" spans="2:10" ht="15.5" x14ac:dyDescent="0.35">
      <c r="B53" s="8">
        <v>47</v>
      </c>
      <c r="C53" s="15">
        <v>45951</v>
      </c>
      <c r="D53" s="14" t="str">
        <f>IF(Tabel3[[#This Row],[TANGGAL ]]="","",TEXT(Tabel3[[#This Row],[TANGGAL ]],"DDDD"))</f>
        <v>Selasa</v>
      </c>
      <c r="E53" s="14" t="s">
        <v>6</v>
      </c>
      <c r="F53" s="16">
        <v>400000</v>
      </c>
      <c r="G53" s="14" t="s">
        <v>45</v>
      </c>
    </row>
    <row r="54" spans="2:10" ht="15.5" x14ac:dyDescent="0.35">
      <c r="B54" s="8">
        <v>48</v>
      </c>
      <c r="C54" s="15">
        <v>45951</v>
      </c>
      <c r="D54" s="14" t="str">
        <f>IF(Tabel3[[#This Row],[TANGGAL ]]="","",TEXT(Tabel3[[#This Row],[TANGGAL ]],"DDDD"))</f>
        <v>Selasa</v>
      </c>
      <c r="E54" s="14" t="s">
        <v>49</v>
      </c>
      <c r="F54" s="16">
        <v>200000</v>
      </c>
      <c r="G54" s="14" t="s">
        <v>46</v>
      </c>
      <c r="J54" s="2"/>
    </row>
    <row r="55" spans="2:10" ht="15.5" x14ac:dyDescent="0.35">
      <c r="B55" s="8">
        <v>49</v>
      </c>
      <c r="C55" s="15">
        <v>45951</v>
      </c>
      <c r="D55" s="14" t="str">
        <f>IF(Tabel3[[#This Row],[TANGGAL ]]="","",TEXT(Tabel3[[#This Row],[TANGGAL ]],"DDDD"))</f>
        <v>Selasa</v>
      </c>
      <c r="E55" s="14" t="s">
        <v>59</v>
      </c>
      <c r="F55" s="16">
        <v>100000</v>
      </c>
      <c r="G55" s="14" t="s">
        <v>63</v>
      </c>
    </row>
    <row r="56" spans="2:10" ht="15.5" x14ac:dyDescent="0.35">
      <c r="B56" s="8">
        <v>50</v>
      </c>
      <c r="C56" s="15">
        <v>45951</v>
      </c>
      <c r="D56" s="14" t="str">
        <f>IF(Tabel3[[#This Row],[TANGGAL ]]="","",TEXT(Tabel3[[#This Row],[TANGGAL ]],"DDDD"))</f>
        <v>Selasa</v>
      </c>
      <c r="E56" s="14" t="s">
        <v>62</v>
      </c>
      <c r="F56" s="16">
        <v>150000</v>
      </c>
      <c r="G56" s="14" t="s">
        <v>64</v>
      </c>
    </row>
    <row r="57" spans="2:10" ht="15.5" x14ac:dyDescent="0.35">
      <c r="B57" s="8">
        <v>51</v>
      </c>
      <c r="C57" s="15">
        <v>45951</v>
      </c>
      <c r="D57" s="14" t="str">
        <f>IF(Tabel3[[#This Row],[TANGGAL ]]="","",TEXT(Tabel3[[#This Row],[TANGGAL ]],"DDDD"))</f>
        <v>Selasa</v>
      </c>
      <c r="E57" s="14" t="s">
        <v>60</v>
      </c>
      <c r="F57" s="16">
        <v>150000</v>
      </c>
      <c r="G57" s="14" t="s">
        <v>56</v>
      </c>
    </row>
    <row r="58" spans="2:10" ht="15.5" x14ac:dyDescent="0.35">
      <c r="B58" s="8">
        <v>52</v>
      </c>
      <c r="C58" s="15">
        <v>45951</v>
      </c>
      <c r="D58" s="14" t="str">
        <f>IF(Tabel3[[#This Row],[TANGGAL ]]="","",TEXT(Tabel3[[#This Row],[TANGGAL ]],"DDDD"))</f>
        <v>Selasa</v>
      </c>
      <c r="E58" s="14" t="s">
        <v>61</v>
      </c>
      <c r="F58" s="16">
        <v>100000</v>
      </c>
      <c r="G58" s="14" t="s">
        <v>57</v>
      </c>
    </row>
    <row r="59" spans="2:10" ht="15.5" x14ac:dyDescent="0.35">
      <c r="B59" s="8">
        <v>53</v>
      </c>
      <c r="C59" s="15">
        <v>45951</v>
      </c>
      <c r="D59" s="14" t="str">
        <f>IF(Tabel3[[#This Row],[TANGGAL ]]="","",TEXT(Tabel3[[#This Row],[TANGGAL ]],"DDDD"))</f>
        <v>Selasa</v>
      </c>
      <c r="E59" s="14" t="s">
        <v>156</v>
      </c>
      <c r="F59" s="16">
        <v>166000</v>
      </c>
      <c r="G59" s="14" t="s">
        <v>65</v>
      </c>
    </row>
    <row r="60" spans="2:10" ht="15.5" x14ac:dyDescent="0.35">
      <c r="B60" s="8">
        <v>54</v>
      </c>
      <c r="C60" s="15">
        <v>45951</v>
      </c>
      <c r="D60" s="14" t="str">
        <f>IF(Tabel3[[#This Row],[TANGGAL ]]="","",TEXT(Tabel3[[#This Row],[TANGGAL ]],"DDDD"))</f>
        <v>Selasa</v>
      </c>
      <c r="E60" s="14" t="s">
        <v>156</v>
      </c>
      <c r="F60" s="16">
        <v>30000</v>
      </c>
      <c r="G60" s="14" t="s">
        <v>66</v>
      </c>
    </row>
    <row r="61" spans="2:10" ht="15.5" x14ac:dyDescent="0.35">
      <c r="B61" s="8">
        <v>55</v>
      </c>
      <c r="C61" s="15">
        <v>45951</v>
      </c>
      <c r="D61" s="14" t="str">
        <f>IF(Tabel3[[#This Row],[TANGGAL ]]="","",TEXT(Tabel3[[#This Row],[TANGGAL ]],"DDDD"))</f>
        <v>Selasa</v>
      </c>
      <c r="E61" s="14" t="s">
        <v>194</v>
      </c>
      <c r="F61" s="16">
        <v>50000</v>
      </c>
      <c r="G61" s="14" t="s">
        <v>67</v>
      </c>
    </row>
    <row r="62" spans="2:10" ht="15.5" x14ac:dyDescent="0.35">
      <c r="B62" s="8">
        <v>56</v>
      </c>
      <c r="C62" s="15">
        <v>45952</v>
      </c>
      <c r="D62" s="14" t="str">
        <f>IF(Tabel3[[#This Row],[TANGGAL ]]="","",TEXT(Tabel3[[#This Row],[TANGGAL ]],"DDDD"))</f>
        <v>Rabu</v>
      </c>
      <c r="E62" s="14" t="s">
        <v>6</v>
      </c>
      <c r="F62" s="16">
        <v>400000</v>
      </c>
      <c r="G62" s="14" t="s">
        <v>45</v>
      </c>
    </row>
    <row r="63" spans="2:10" ht="15.5" x14ac:dyDescent="0.35">
      <c r="B63" s="8">
        <v>57</v>
      </c>
      <c r="C63" s="15">
        <v>45952</v>
      </c>
      <c r="D63" s="14" t="str">
        <f>IF(Tabel3[[#This Row],[TANGGAL ]]="","",TEXT(Tabel3[[#This Row],[TANGGAL ]],"DDDD"))</f>
        <v>Rabu</v>
      </c>
      <c r="E63" s="14" t="s">
        <v>6</v>
      </c>
      <c r="F63" s="16">
        <v>400000</v>
      </c>
      <c r="G63" s="14" t="s">
        <v>45</v>
      </c>
    </row>
    <row r="64" spans="2:10" ht="15.5" x14ac:dyDescent="0.35">
      <c r="B64" s="8">
        <v>58</v>
      </c>
      <c r="C64" s="15">
        <v>45952</v>
      </c>
      <c r="D64" s="14" t="str">
        <f>IF(Tabel3[[#This Row],[TANGGAL ]]="","",TEXT(Tabel3[[#This Row],[TANGGAL ]],"DDDD"))</f>
        <v>Rabu</v>
      </c>
      <c r="E64" s="14" t="s">
        <v>39</v>
      </c>
      <c r="F64" s="16">
        <v>200000</v>
      </c>
      <c r="G64" s="14" t="s">
        <v>46</v>
      </c>
    </row>
    <row r="65" spans="2:10" ht="15.5" x14ac:dyDescent="0.35">
      <c r="B65" s="8">
        <v>59</v>
      </c>
      <c r="C65" s="15">
        <v>45952</v>
      </c>
      <c r="D65" s="14" t="str">
        <f>IF(Tabel3[[#This Row],[TANGGAL ]]="","",TEXT(Tabel3[[#This Row],[TANGGAL ]],"DDDD"))</f>
        <v>Rabu</v>
      </c>
      <c r="E65" s="14" t="s">
        <v>44</v>
      </c>
      <c r="F65" s="16">
        <v>50000</v>
      </c>
      <c r="G65" s="14" t="s">
        <v>47</v>
      </c>
    </row>
    <row r="66" spans="2:10" ht="15.5" x14ac:dyDescent="0.35">
      <c r="B66" s="8">
        <v>60</v>
      </c>
      <c r="C66" s="15">
        <v>45952</v>
      </c>
      <c r="D66" s="14" t="str">
        <f>IF(Tabel3[[#This Row],[TANGGAL ]]="","",TEXT(Tabel3[[#This Row],[TANGGAL ]],"DDDD"))</f>
        <v>Rabu</v>
      </c>
      <c r="E66" s="14" t="s">
        <v>60</v>
      </c>
      <c r="F66" s="16">
        <v>150000</v>
      </c>
      <c r="G66" s="14" t="s">
        <v>42</v>
      </c>
    </row>
    <row r="67" spans="2:10" ht="15.5" x14ac:dyDescent="0.35">
      <c r="B67" s="8">
        <v>61</v>
      </c>
      <c r="C67" s="15">
        <v>45952</v>
      </c>
      <c r="D67" s="14" t="str">
        <f>IF(Tabel3[[#This Row],[TANGGAL ]]="","",TEXT(Tabel3[[#This Row],[TANGGAL ]],"DDDD"))</f>
        <v>Rabu</v>
      </c>
      <c r="E67" s="14" t="s">
        <v>61</v>
      </c>
      <c r="F67" s="16">
        <v>100000</v>
      </c>
      <c r="G67" s="14" t="s">
        <v>42</v>
      </c>
    </row>
    <row r="68" spans="2:10" ht="15.5" x14ac:dyDescent="0.35">
      <c r="B68" s="8">
        <v>62</v>
      </c>
      <c r="C68" s="15">
        <v>45952</v>
      </c>
      <c r="D68" s="14" t="str">
        <f>IF(Tabel3[[#This Row],[TANGGAL ]]="","",TEXT(Tabel3[[#This Row],[TANGGAL ]],"DDDD"))</f>
        <v>Rabu</v>
      </c>
      <c r="E68" s="14" t="s">
        <v>68</v>
      </c>
      <c r="F68" s="16">
        <v>660000</v>
      </c>
      <c r="G68" s="14" t="s">
        <v>69</v>
      </c>
    </row>
    <row r="69" spans="2:10" ht="15.5" x14ac:dyDescent="0.35">
      <c r="B69" s="8">
        <v>63</v>
      </c>
      <c r="C69" s="15">
        <v>45953</v>
      </c>
      <c r="D69" s="14" t="str">
        <f>IF(Tabel3[[#This Row],[TANGGAL ]]="","",TEXT(Tabel3[[#This Row],[TANGGAL ]],"DDDD"))</f>
        <v>Kamis</v>
      </c>
      <c r="E69" s="14" t="s">
        <v>6</v>
      </c>
      <c r="F69" s="16">
        <v>200000</v>
      </c>
      <c r="G69" s="14" t="s">
        <v>45</v>
      </c>
    </row>
    <row r="70" spans="2:10" ht="15.5" x14ac:dyDescent="0.35">
      <c r="B70" s="8">
        <v>64</v>
      </c>
      <c r="C70" s="15">
        <v>45953</v>
      </c>
      <c r="D70" s="14" t="str">
        <f>IF(Tabel3[[#This Row],[TANGGAL ]]="","",TEXT(Tabel3[[#This Row],[TANGGAL ]],"DDDD"))</f>
        <v>Kamis</v>
      </c>
      <c r="E70" s="14" t="s">
        <v>6</v>
      </c>
      <c r="F70" s="16">
        <v>200000</v>
      </c>
      <c r="G70" s="14" t="s">
        <v>45</v>
      </c>
    </row>
    <row r="71" spans="2:10" ht="15.5" x14ac:dyDescent="0.35">
      <c r="B71" s="8">
        <v>65</v>
      </c>
      <c r="C71" s="15">
        <v>45953</v>
      </c>
      <c r="D71" s="14" t="str">
        <f>IF(Tabel3[[#This Row],[TANGGAL ]]="","",TEXT(Tabel3[[#This Row],[TANGGAL ]],"DDDD"))</f>
        <v>Kamis</v>
      </c>
      <c r="E71" s="14" t="s">
        <v>49</v>
      </c>
      <c r="F71" s="16">
        <v>100000</v>
      </c>
      <c r="G71" s="14" t="s">
        <v>46</v>
      </c>
    </row>
    <row r="72" spans="2:10" ht="15.5" x14ac:dyDescent="0.35">
      <c r="B72" s="8">
        <v>66</v>
      </c>
      <c r="C72" s="15">
        <v>45953</v>
      </c>
      <c r="D72" s="14" t="str">
        <f>IF(Tabel3[[#This Row],[TANGGAL ]]="","",TEXT(Tabel3[[#This Row],[TANGGAL ]],"DDDD"))</f>
        <v>Kamis</v>
      </c>
      <c r="E72" s="14" t="s">
        <v>59</v>
      </c>
      <c r="F72" s="16">
        <v>100000</v>
      </c>
      <c r="G72" s="14" t="s">
        <v>63</v>
      </c>
    </row>
    <row r="73" spans="2:10" ht="15.5" x14ac:dyDescent="0.35">
      <c r="B73" s="8">
        <v>67</v>
      </c>
      <c r="C73" s="15">
        <v>45953</v>
      </c>
      <c r="D73" s="14" t="str">
        <f>IF(Tabel3[[#This Row],[TANGGAL ]]="","",TEXT(Tabel3[[#This Row],[TANGGAL ]],"DDDD"))</f>
        <v>Kamis</v>
      </c>
      <c r="E73" s="14" t="s">
        <v>195</v>
      </c>
      <c r="F73" s="16">
        <v>800000</v>
      </c>
      <c r="G73" s="14" t="s">
        <v>70</v>
      </c>
    </row>
    <row r="74" spans="2:10" ht="15.5" x14ac:dyDescent="0.35">
      <c r="B74" s="8">
        <v>68</v>
      </c>
      <c r="C74" s="15">
        <v>45953</v>
      </c>
      <c r="D74" s="14" t="str">
        <f>IF(Tabel3[[#This Row],[TANGGAL ]]="","",TEXT(Tabel3[[#This Row],[TANGGAL ]],"DDDD"))</f>
        <v>Kamis</v>
      </c>
      <c r="E74" s="14" t="s">
        <v>84</v>
      </c>
      <c r="F74" s="16">
        <v>395000</v>
      </c>
      <c r="G74" s="14" t="s">
        <v>71</v>
      </c>
    </row>
    <row r="75" spans="2:10" ht="15.5" x14ac:dyDescent="0.35">
      <c r="B75" s="8">
        <v>69</v>
      </c>
      <c r="C75" s="15">
        <v>45954</v>
      </c>
      <c r="D75" s="14" t="str">
        <f>IF(Tabel3[[#This Row],[TANGGAL ]]="","",TEXT(Tabel3[[#This Row],[TANGGAL ]],"DDDD"))</f>
        <v>Jumat</v>
      </c>
      <c r="E75" s="14" t="s">
        <v>196</v>
      </c>
      <c r="F75" s="16">
        <v>1925000</v>
      </c>
      <c r="G75" s="14" t="s">
        <v>147</v>
      </c>
    </row>
    <row r="76" spans="2:10" ht="15.5" x14ac:dyDescent="0.35">
      <c r="B76" s="8">
        <v>70</v>
      </c>
      <c r="C76" s="15">
        <v>45954</v>
      </c>
      <c r="D76" s="14" t="str">
        <f>IF(Tabel3[[#This Row],[TANGGAL ]]="","",TEXT(Tabel3[[#This Row],[TANGGAL ]],"DDDD"))</f>
        <v>Jumat</v>
      </c>
      <c r="E76" s="14" t="s">
        <v>6</v>
      </c>
      <c r="F76" s="16">
        <v>400000</v>
      </c>
      <c r="G76" s="14" t="s">
        <v>45</v>
      </c>
    </row>
    <row r="77" spans="2:10" ht="15.5" x14ac:dyDescent="0.35">
      <c r="B77" s="8">
        <v>71</v>
      </c>
      <c r="C77" s="15">
        <v>45954</v>
      </c>
      <c r="D77" s="14" t="str">
        <f>IF(Tabel3[[#This Row],[TANGGAL ]]="","",TEXT(Tabel3[[#This Row],[TANGGAL ]],"DDDD"))</f>
        <v>Jumat</v>
      </c>
      <c r="E77" s="14" t="s">
        <v>6</v>
      </c>
      <c r="F77" s="16">
        <v>400000</v>
      </c>
      <c r="G77" s="14" t="s">
        <v>45</v>
      </c>
    </row>
    <row r="78" spans="2:10" ht="15.5" x14ac:dyDescent="0.35">
      <c r="B78" s="8">
        <v>72</v>
      </c>
      <c r="C78" s="15">
        <v>45954</v>
      </c>
      <c r="D78" s="14" t="str">
        <f>IF(Tabel3[[#This Row],[TANGGAL ]]="","",TEXT(Tabel3[[#This Row],[TANGGAL ]],"DDDD"))</f>
        <v>Jumat</v>
      </c>
      <c r="E78" s="14" t="s">
        <v>49</v>
      </c>
      <c r="F78" s="16">
        <v>200000</v>
      </c>
      <c r="G78" s="14" t="s">
        <v>46</v>
      </c>
    </row>
    <row r="79" spans="2:10" ht="15.5" x14ac:dyDescent="0.35">
      <c r="B79" s="8">
        <v>73</v>
      </c>
      <c r="C79" s="15">
        <v>45954</v>
      </c>
      <c r="D79" s="14" t="str">
        <f>IF(Tabel3[[#This Row],[TANGGAL ]]="","",TEXT(Tabel3[[#This Row],[TANGGAL ]],"DDDD"))</f>
        <v>Jumat</v>
      </c>
      <c r="E79" s="14" t="s">
        <v>60</v>
      </c>
      <c r="F79" s="16">
        <v>150000</v>
      </c>
      <c r="G79" s="14" t="s">
        <v>56</v>
      </c>
      <c r="J79" s="2"/>
    </row>
    <row r="80" spans="2:10" ht="15.5" x14ac:dyDescent="0.35">
      <c r="B80" s="8">
        <v>74</v>
      </c>
      <c r="C80" s="15">
        <v>45954</v>
      </c>
      <c r="D80" s="14" t="str">
        <f>IF(Tabel3[[#This Row],[TANGGAL ]]="","",TEXT(Tabel3[[#This Row],[TANGGAL ]],"DDDD"))</f>
        <v>Jumat</v>
      </c>
      <c r="E80" s="14" t="s">
        <v>61</v>
      </c>
      <c r="F80" s="16">
        <v>100000</v>
      </c>
      <c r="G80" s="14" t="s">
        <v>57</v>
      </c>
    </row>
    <row r="81" spans="2:10" ht="15.5" x14ac:dyDescent="0.35">
      <c r="B81" s="8">
        <v>75</v>
      </c>
      <c r="C81" s="15">
        <v>45954</v>
      </c>
      <c r="D81" s="14" t="str">
        <f>IF(Tabel3[[#This Row],[TANGGAL ]]="","",TEXT(Tabel3[[#This Row],[TANGGAL ]],"DDDD"))</f>
        <v>Jumat</v>
      </c>
      <c r="E81" s="14" t="s">
        <v>197</v>
      </c>
      <c r="F81" s="16">
        <v>40000</v>
      </c>
      <c r="G81" s="14" t="s">
        <v>73</v>
      </c>
      <c r="J81" s="2"/>
    </row>
    <row r="82" spans="2:10" ht="15.5" x14ac:dyDescent="0.35">
      <c r="B82" s="8">
        <v>76</v>
      </c>
      <c r="C82" s="15">
        <v>45954</v>
      </c>
      <c r="D82" s="14" t="str">
        <f>IF(Tabel3[[#This Row],[TANGGAL ]]="","",TEXT(Tabel3[[#This Row],[TANGGAL ]],"DDDD"))</f>
        <v>Jumat</v>
      </c>
      <c r="E82" s="14" t="s">
        <v>198</v>
      </c>
      <c r="F82" s="16">
        <v>33000</v>
      </c>
      <c r="G82" s="14" t="s">
        <v>74</v>
      </c>
    </row>
    <row r="83" spans="2:10" ht="15.5" x14ac:dyDescent="0.35">
      <c r="B83" s="8">
        <v>77</v>
      </c>
      <c r="C83" s="15">
        <v>45954</v>
      </c>
      <c r="D83" s="14" t="str">
        <f>IF(Tabel3[[#This Row],[TANGGAL ]]="","",TEXT(Tabel3[[#This Row],[TANGGAL ]],"DDDD"))</f>
        <v>Jumat</v>
      </c>
      <c r="E83" s="14" t="s">
        <v>199</v>
      </c>
      <c r="F83" s="16">
        <v>100000</v>
      </c>
      <c r="G83" s="14" t="s">
        <v>75</v>
      </c>
    </row>
    <row r="84" spans="2:10" ht="15.5" x14ac:dyDescent="0.35">
      <c r="B84" s="8">
        <v>78</v>
      </c>
      <c r="C84" s="15">
        <v>45954</v>
      </c>
      <c r="D84" s="14" t="str">
        <f>IF(Tabel3[[#This Row],[TANGGAL ]]="","",TEXT(Tabel3[[#This Row],[TANGGAL ]],"DDDD"))</f>
        <v>Jumat</v>
      </c>
      <c r="E84" s="14" t="s">
        <v>72</v>
      </c>
      <c r="F84" s="16">
        <v>3800000</v>
      </c>
      <c r="G84" s="14" t="s">
        <v>76</v>
      </c>
    </row>
    <row r="85" spans="2:10" ht="15.5" x14ac:dyDescent="0.35">
      <c r="B85" s="8">
        <v>79</v>
      </c>
      <c r="C85" s="15">
        <v>45954</v>
      </c>
      <c r="D85" s="14" t="str">
        <f>IF(Tabel3[[#This Row],[TANGGAL ]]="","",TEXT(Tabel3[[#This Row],[TANGGAL ]],"DDDD"))</f>
        <v>Jumat</v>
      </c>
      <c r="E85" s="14" t="s">
        <v>200</v>
      </c>
      <c r="F85" s="16">
        <v>1300000</v>
      </c>
      <c r="G85" s="14" t="s">
        <v>162</v>
      </c>
    </row>
    <row r="86" spans="2:10" ht="15.5" x14ac:dyDescent="0.35">
      <c r="B86" s="8">
        <v>80</v>
      </c>
      <c r="C86" s="15">
        <v>45955</v>
      </c>
      <c r="D86" s="14" t="str">
        <f>IF(Tabel3[[#This Row],[TANGGAL ]]="","",TEXT(Tabel3[[#This Row],[TANGGAL ]],"DDDD"))</f>
        <v>Sabtu</v>
      </c>
      <c r="E86" s="14" t="s">
        <v>6</v>
      </c>
      <c r="F86" s="16">
        <v>400000</v>
      </c>
      <c r="G86" s="14" t="s">
        <v>45</v>
      </c>
    </row>
    <row r="87" spans="2:10" ht="15.5" x14ac:dyDescent="0.35">
      <c r="B87" s="8">
        <v>81</v>
      </c>
      <c r="C87" s="15">
        <v>45955</v>
      </c>
      <c r="D87" s="14" t="str">
        <f>IF(Tabel3[[#This Row],[TANGGAL ]]="","",TEXT(Tabel3[[#This Row],[TANGGAL ]],"DDDD"))</f>
        <v>Sabtu</v>
      </c>
      <c r="E87" s="14" t="s">
        <v>6</v>
      </c>
      <c r="F87" s="16">
        <v>400000</v>
      </c>
      <c r="G87" s="14" t="s">
        <v>45</v>
      </c>
    </row>
    <row r="88" spans="2:10" ht="15.5" x14ac:dyDescent="0.35">
      <c r="B88" s="8">
        <v>82</v>
      </c>
      <c r="C88" s="15">
        <v>45955</v>
      </c>
      <c r="D88" s="14" t="str">
        <f>IF(Tabel3[[#This Row],[TANGGAL ]]="","",TEXT(Tabel3[[#This Row],[TANGGAL ]],"DDDD"))</f>
        <v>Sabtu</v>
      </c>
      <c r="E88" s="14" t="s">
        <v>6</v>
      </c>
      <c r="F88" s="16">
        <v>400000</v>
      </c>
      <c r="G88" s="14" t="s">
        <v>45</v>
      </c>
    </row>
    <row r="89" spans="2:10" ht="15.5" x14ac:dyDescent="0.35">
      <c r="B89" s="8">
        <v>83</v>
      </c>
      <c r="C89" s="15">
        <v>45955</v>
      </c>
      <c r="D89" s="14" t="str">
        <f>IF(Tabel3[[#This Row],[TANGGAL ]]="","",TEXT(Tabel3[[#This Row],[TANGGAL ]],"DDDD"))</f>
        <v>Sabtu</v>
      </c>
      <c r="E89" s="14" t="s">
        <v>49</v>
      </c>
      <c r="F89" s="16">
        <v>200000</v>
      </c>
      <c r="G89" s="14" t="s">
        <v>46</v>
      </c>
    </row>
    <row r="90" spans="2:10" ht="15.5" x14ac:dyDescent="0.35">
      <c r="B90" s="8">
        <v>84</v>
      </c>
      <c r="C90" s="15">
        <v>45955</v>
      </c>
      <c r="D90" s="14" t="str">
        <f>IF(Tabel3[[#This Row],[TANGGAL ]]="","",TEXT(Tabel3[[#This Row],[TANGGAL ]],"DDDD"))</f>
        <v>Sabtu</v>
      </c>
      <c r="E90" s="14" t="s">
        <v>60</v>
      </c>
      <c r="F90" s="16">
        <v>100000</v>
      </c>
      <c r="G90" s="14" t="s">
        <v>56</v>
      </c>
      <c r="J90" s="2"/>
    </row>
    <row r="91" spans="2:10" ht="15.5" x14ac:dyDescent="0.35">
      <c r="B91" s="8">
        <v>85</v>
      </c>
      <c r="C91" s="15">
        <v>45955</v>
      </c>
      <c r="D91" s="14" t="str">
        <f>IF(Tabel3[[#This Row],[TANGGAL ]]="","",TEXT(Tabel3[[#This Row],[TANGGAL ]],"DDDD"))</f>
        <v>Sabtu</v>
      </c>
      <c r="E91" s="14" t="s">
        <v>61</v>
      </c>
      <c r="F91" s="16">
        <v>120000</v>
      </c>
      <c r="G91" s="14" t="s">
        <v>57</v>
      </c>
    </row>
    <row r="92" spans="2:10" ht="15.5" x14ac:dyDescent="0.35">
      <c r="B92" s="8">
        <v>86</v>
      </c>
      <c r="C92" s="15">
        <v>45955</v>
      </c>
      <c r="D92" s="14" t="str">
        <f>IF(Tabel3[[#This Row],[TANGGAL ]]="","",TEXT(Tabel3[[#This Row],[TANGGAL ]],"DDDD"))</f>
        <v>Sabtu</v>
      </c>
      <c r="E92" s="14" t="s">
        <v>201</v>
      </c>
      <c r="F92" s="16">
        <v>100000</v>
      </c>
      <c r="G92" s="14" t="s">
        <v>78</v>
      </c>
    </row>
    <row r="93" spans="2:10" ht="15.5" x14ac:dyDescent="0.35">
      <c r="B93" s="8">
        <v>87</v>
      </c>
      <c r="C93" s="15">
        <v>45955</v>
      </c>
      <c r="D93" s="14" t="str">
        <f>IF(Tabel3[[#This Row],[TANGGAL ]]="","",TEXT(Tabel3[[#This Row],[TANGGAL ]],"DDDD"))</f>
        <v>Sabtu</v>
      </c>
      <c r="E93" s="14" t="s">
        <v>77</v>
      </c>
      <c r="F93" s="16">
        <v>2385000</v>
      </c>
      <c r="G93" s="14" t="s">
        <v>76</v>
      </c>
    </row>
    <row r="94" spans="2:10" ht="15.5" x14ac:dyDescent="0.35">
      <c r="B94" s="8">
        <v>88</v>
      </c>
      <c r="C94" s="15">
        <v>45955</v>
      </c>
      <c r="D94" s="14" t="str">
        <f>IF(Tabel3[[#This Row],[TANGGAL ]]="","",TEXT(Tabel3[[#This Row],[TANGGAL ]],"DDDD"))</f>
        <v>Sabtu</v>
      </c>
      <c r="E94" s="14" t="s">
        <v>72</v>
      </c>
      <c r="F94" s="16">
        <v>4000000</v>
      </c>
      <c r="G94" s="14" t="s">
        <v>76</v>
      </c>
    </row>
    <row r="95" spans="2:10" ht="15.5" x14ac:dyDescent="0.35">
      <c r="B95" s="8">
        <v>89</v>
      </c>
      <c r="C95" s="15">
        <v>45955</v>
      </c>
      <c r="D95" s="14" t="str">
        <f>IF(Tabel3[[#This Row],[TANGGAL ]]="","",TEXT(Tabel3[[#This Row],[TANGGAL ]],"DDDD"))</f>
        <v>Sabtu</v>
      </c>
      <c r="E95" s="14" t="s">
        <v>119</v>
      </c>
      <c r="F95" s="16">
        <v>360000</v>
      </c>
      <c r="G95" s="14" t="s">
        <v>79</v>
      </c>
    </row>
    <row r="96" spans="2:10" ht="15.5" x14ac:dyDescent="0.35">
      <c r="B96" s="8">
        <v>90</v>
      </c>
      <c r="C96" s="15">
        <v>45956</v>
      </c>
      <c r="D96" s="14" t="str">
        <f>IF(Tabel3[[#This Row],[TANGGAL ]]="","",TEXT(Tabel3[[#This Row],[TANGGAL ]],"DDDD"))</f>
        <v>Minggu</v>
      </c>
      <c r="E96" s="14" t="s">
        <v>6</v>
      </c>
      <c r="F96" s="16">
        <v>400000</v>
      </c>
      <c r="G96" s="14" t="s">
        <v>45</v>
      </c>
    </row>
    <row r="97" spans="2:7" ht="15.5" x14ac:dyDescent="0.35">
      <c r="B97" s="8">
        <v>91</v>
      </c>
      <c r="C97" s="15">
        <v>45956</v>
      </c>
      <c r="D97" s="14" t="str">
        <f>IF(Tabel3[[#This Row],[TANGGAL ]]="","",TEXT(Tabel3[[#This Row],[TANGGAL ]],"DDDD"))</f>
        <v>Minggu</v>
      </c>
      <c r="E97" s="14" t="s">
        <v>6</v>
      </c>
      <c r="F97" s="16">
        <v>400000</v>
      </c>
      <c r="G97" s="14" t="s">
        <v>45</v>
      </c>
    </row>
    <row r="98" spans="2:7" ht="15.5" x14ac:dyDescent="0.35">
      <c r="B98" s="8">
        <v>92</v>
      </c>
      <c r="C98" s="15">
        <v>45956</v>
      </c>
      <c r="D98" s="14" t="str">
        <f>IF(Tabel3[[#This Row],[TANGGAL ]]="","",TEXT(Tabel3[[#This Row],[TANGGAL ]],"DDDD"))</f>
        <v>Minggu</v>
      </c>
      <c r="E98" s="14" t="s">
        <v>6</v>
      </c>
      <c r="F98" s="16">
        <v>400000</v>
      </c>
      <c r="G98" s="14" t="s">
        <v>45</v>
      </c>
    </row>
    <row r="99" spans="2:7" ht="15.5" x14ac:dyDescent="0.35">
      <c r="B99" s="8">
        <v>93</v>
      </c>
      <c r="C99" s="15">
        <v>45956</v>
      </c>
      <c r="D99" s="14" t="str">
        <f>IF(Tabel3[[#This Row],[TANGGAL ]]="","",TEXT(Tabel3[[#This Row],[TANGGAL ]],"DDDD"))</f>
        <v>Minggu</v>
      </c>
      <c r="E99" s="14" t="s">
        <v>49</v>
      </c>
      <c r="F99" s="16">
        <v>200000</v>
      </c>
      <c r="G99" s="14" t="s">
        <v>46</v>
      </c>
    </row>
    <row r="100" spans="2:7" ht="15.5" x14ac:dyDescent="0.35">
      <c r="B100" s="8">
        <v>94</v>
      </c>
      <c r="C100" s="15">
        <v>45956</v>
      </c>
      <c r="D100" s="14" t="str">
        <f>IF(Tabel3[[#This Row],[TANGGAL ]]="","",TEXT(Tabel3[[#This Row],[TANGGAL ]],"DDDD"))</f>
        <v>Minggu</v>
      </c>
      <c r="E100" s="14" t="s">
        <v>60</v>
      </c>
      <c r="F100" s="16">
        <v>120000</v>
      </c>
      <c r="G100" s="14" t="s">
        <v>56</v>
      </c>
    </row>
    <row r="101" spans="2:7" ht="15.5" x14ac:dyDescent="0.35">
      <c r="B101" s="8">
        <v>95</v>
      </c>
      <c r="C101" s="15">
        <v>45956</v>
      </c>
      <c r="D101" s="14" t="str">
        <f>IF(Tabel3[[#This Row],[TANGGAL ]]="","",TEXT(Tabel3[[#This Row],[TANGGAL ]],"DDDD"))</f>
        <v>Minggu</v>
      </c>
      <c r="E101" s="14" t="s">
        <v>61</v>
      </c>
      <c r="F101" s="16">
        <v>100000</v>
      </c>
      <c r="G101" s="14" t="s">
        <v>42</v>
      </c>
    </row>
    <row r="102" spans="2:7" ht="15.5" x14ac:dyDescent="0.35">
      <c r="B102" s="8">
        <v>96</v>
      </c>
      <c r="C102" s="15">
        <v>45956</v>
      </c>
      <c r="D102" s="14" t="str">
        <f>IF(Tabel3[[#This Row],[TANGGAL ]]="","",TEXT(Tabel3[[#This Row],[TANGGAL ]],"DDDD"))</f>
        <v>Minggu</v>
      </c>
      <c r="E102" s="14" t="s">
        <v>202</v>
      </c>
      <c r="F102" s="16">
        <v>17000</v>
      </c>
      <c r="G102" s="14" t="s">
        <v>82</v>
      </c>
    </row>
    <row r="103" spans="2:7" ht="15.5" x14ac:dyDescent="0.35">
      <c r="B103" s="8">
        <v>97</v>
      </c>
      <c r="C103" s="15">
        <v>45956</v>
      </c>
      <c r="D103" s="14" t="str">
        <f>IF(Tabel3[[#This Row],[TANGGAL ]]="","",TEXT(Tabel3[[#This Row],[TANGGAL ]],"DDDD"))</f>
        <v>Minggu</v>
      </c>
      <c r="E103" s="14" t="s">
        <v>50</v>
      </c>
      <c r="F103" s="16">
        <v>50000</v>
      </c>
      <c r="G103" s="14" t="s">
        <v>80</v>
      </c>
    </row>
    <row r="104" spans="2:7" ht="15.5" x14ac:dyDescent="0.35">
      <c r="B104" s="8">
        <v>98</v>
      </c>
      <c r="C104" s="15">
        <v>45956</v>
      </c>
      <c r="D104" s="14" t="str">
        <f>IF(Tabel3[[#This Row],[TANGGAL ]]="","",TEXT(Tabel3[[#This Row],[TANGGAL ]],"DDDD"))</f>
        <v>Minggu</v>
      </c>
      <c r="E104" s="14" t="s">
        <v>119</v>
      </c>
      <c r="F104" s="16">
        <v>63000</v>
      </c>
      <c r="G104" s="14" t="s">
        <v>79</v>
      </c>
    </row>
    <row r="105" spans="2:7" ht="15.5" x14ac:dyDescent="0.35">
      <c r="B105" s="8">
        <v>99</v>
      </c>
      <c r="C105" s="15">
        <v>45957</v>
      </c>
      <c r="D105" s="14" t="str">
        <f>IF(Tabel3[[#This Row],[TANGGAL ]]="","",TEXT(Tabel3[[#This Row],[TANGGAL ]],"DDDD"))</f>
        <v>Senin</v>
      </c>
      <c r="E105" s="14" t="s">
        <v>81</v>
      </c>
      <c r="F105" s="16">
        <v>10000000</v>
      </c>
      <c r="G105" s="14" t="s">
        <v>83</v>
      </c>
    </row>
    <row r="106" spans="2:7" ht="15.5" x14ac:dyDescent="0.35">
      <c r="B106" s="8">
        <v>100</v>
      </c>
      <c r="C106" s="15">
        <v>45957</v>
      </c>
      <c r="D106" s="14" t="str">
        <f>IF(Tabel3[[#This Row],[TANGGAL ]]="","",TEXT(Tabel3[[#This Row],[TANGGAL ]],"DDDD"))</f>
        <v>Senin</v>
      </c>
      <c r="E106" s="14" t="s">
        <v>6</v>
      </c>
      <c r="F106" s="16">
        <v>400000</v>
      </c>
      <c r="G106" s="14" t="s">
        <v>45</v>
      </c>
    </row>
    <row r="107" spans="2:7" ht="15.5" x14ac:dyDescent="0.35">
      <c r="B107" s="8">
        <v>101</v>
      </c>
      <c r="C107" s="15">
        <v>45957</v>
      </c>
      <c r="D107" s="14" t="str">
        <f>IF(Tabel3[[#This Row],[TANGGAL ]]="","",TEXT(Tabel3[[#This Row],[TANGGAL ]],"DDDD"))</f>
        <v>Senin</v>
      </c>
      <c r="E107" s="14" t="s">
        <v>6</v>
      </c>
      <c r="F107" s="16">
        <v>400000</v>
      </c>
      <c r="G107" s="14" t="s">
        <v>45</v>
      </c>
    </row>
    <row r="108" spans="2:7" ht="15.5" x14ac:dyDescent="0.35">
      <c r="B108" s="8">
        <v>102</v>
      </c>
      <c r="C108" s="15">
        <v>45957</v>
      </c>
      <c r="D108" s="14" t="str">
        <f>IF(Tabel3[[#This Row],[TANGGAL ]]="","",TEXT(Tabel3[[#This Row],[TANGGAL ]],"DDDD"))</f>
        <v>Senin</v>
      </c>
      <c r="E108" s="14" t="s">
        <v>49</v>
      </c>
      <c r="F108" s="16">
        <v>200000</v>
      </c>
      <c r="G108" s="14" t="s">
        <v>46</v>
      </c>
    </row>
    <row r="109" spans="2:7" ht="15.5" x14ac:dyDescent="0.35">
      <c r="B109" s="8">
        <v>103</v>
      </c>
      <c r="C109" s="15">
        <v>45957</v>
      </c>
      <c r="D109" s="14" t="str">
        <f>IF(Tabel3[[#This Row],[TANGGAL ]]="","",TEXT(Tabel3[[#This Row],[TANGGAL ]],"DDDD"))</f>
        <v>Senin</v>
      </c>
      <c r="E109" s="14" t="s">
        <v>60</v>
      </c>
      <c r="F109" s="16">
        <v>100000</v>
      </c>
      <c r="G109" s="14" t="s">
        <v>56</v>
      </c>
    </row>
    <row r="110" spans="2:7" ht="15.5" x14ac:dyDescent="0.35">
      <c r="B110" s="8">
        <v>104</v>
      </c>
      <c r="C110" s="15">
        <v>45957</v>
      </c>
      <c r="D110" s="14" t="str">
        <f>IF(Tabel3[[#This Row],[TANGGAL ]]="","",TEXT(Tabel3[[#This Row],[TANGGAL ]],"DDDD"))</f>
        <v>Senin</v>
      </c>
      <c r="E110" s="14" t="s">
        <v>61</v>
      </c>
      <c r="F110" s="16">
        <v>100000</v>
      </c>
      <c r="G110" s="14" t="s">
        <v>57</v>
      </c>
    </row>
    <row r="111" spans="2:7" ht="15.5" x14ac:dyDescent="0.35">
      <c r="B111" s="8">
        <v>105</v>
      </c>
      <c r="C111" s="15">
        <v>45957</v>
      </c>
      <c r="D111" s="14" t="str">
        <f>IF(Tabel3[[#This Row],[TANGGAL ]]="","",TEXT(Tabel3[[#This Row],[TANGGAL ]],"DDDD"))</f>
        <v>Senin</v>
      </c>
      <c r="E111" s="14" t="s">
        <v>203</v>
      </c>
      <c r="F111" s="16">
        <v>270000</v>
      </c>
      <c r="G111" s="14" t="s">
        <v>86</v>
      </c>
    </row>
    <row r="112" spans="2:7" ht="15.5" x14ac:dyDescent="0.35">
      <c r="B112" s="8">
        <v>106</v>
      </c>
      <c r="C112" s="15">
        <v>45957</v>
      </c>
      <c r="D112" s="14" t="str">
        <f>IF(Tabel3[[#This Row],[TANGGAL ]]="","",TEXT(Tabel3[[#This Row],[TANGGAL ]],"DDDD"))</f>
        <v>Senin</v>
      </c>
      <c r="E112" s="14" t="s">
        <v>84</v>
      </c>
      <c r="F112" s="16">
        <v>47000</v>
      </c>
      <c r="G112" s="14" t="s">
        <v>87</v>
      </c>
    </row>
    <row r="113" spans="2:10" ht="15.5" x14ac:dyDescent="0.35">
      <c r="B113" s="8">
        <v>107</v>
      </c>
      <c r="C113" s="15">
        <v>45957</v>
      </c>
      <c r="D113" s="14" t="str">
        <f>IF(Tabel3[[#This Row],[TANGGAL ]]="","",TEXT(Tabel3[[#This Row],[TANGGAL ]],"DDDD"))</f>
        <v>Senin</v>
      </c>
      <c r="E113" s="14" t="s">
        <v>119</v>
      </c>
      <c r="F113" s="16">
        <v>110000</v>
      </c>
      <c r="G113" s="14" t="s">
        <v>79</v>
      </c>
    </row>
    <row r="114" spans="2:10" ht="15.5" x14ac:dyDescent="0.35">
      <c r="B114" s="8">
        <v>108</v>
      </c>
      <c r="C114" s="15">
        <v>45957</v>
      </c>
      <c r="D114" s="14" t="str">
        <f>IF(Tabel3[[#This Row],[TANGGAL ]]="","",TEXT(Tabel3[[#This Row],[TANGGAL ]],"DDDD"))</f>
        <v>Senin</v>
      </c>
      <c r="E114" s="14" t="s">
        <v>85</v>
      </c>
      <c r="F114" s="16">
        <v>5000000</v>
      </c>
      <c r="G114" s="14" t="s">
        <v>88</v>
      </c>
    </row>
    <row r="115" spans="2:10" ht="15.5" x14ac:dyDescent="0.35">
      <c r="B115" s="8">
        <v>109</v>
      </c>
      <c r="C115" s="15">
        <v>45958</v>
      </c>
      <c r="D115" s="14" t="str">
        <f>IF(Tabel3[[#This Row],[TANGGAL ]]="","",TEXT(Tabel3[[#This Row],[TANGGAL ]],"DDDD"))</f>
        <v>Selasa</v>
      </c>
      <c r="E115" s="14" t="s">
        <v>6</v>
      </c>
      <c r="F115" s="16">
        <v>400000</v>
      </c>
      <c r="G115" s="14" t="s">
        <v>45</v>
      </c>
    </row>
    <row r="116" spans="2:10" ht="15.5" x14ac:dyDescent="0.35">
      <c r="B116" s="8">
        <v>110</v>
      </c>
      <c r="C116" s="15">
        <v>45958</v>
      </c>
      <c r="D116" s="14" t="str">
        <f>IF(Tabel3[[#This Row],[TANGGAL ]]="","",TEXT(Tabel3[[#This Row],[TANGGAL ]],"DDDD"))</f>
        <v>Selasa</v>
      </c>
      <c r="E116" s="14" t="s">
        <v>6</v>
      </c>
      <c r="F116" s="16">
        <v>400000</v>
      </c>
      <c r="G116" s="14" t="s">
        <v>45</v>
      </c>
    </row>
    <row r="117" spans="2:10" ht="15.5" x14ac:dyDescent="0.35">
      <c r="B117" s="8">
        <v>111</v>
      </c>
      <c r="C117" s="15">
        <v>45958</v>
      </c>
      <c r="D117" s="14" t="str">
        <f>IF(Tabel3[[#This Row],[TANGGAL ]]="","",TEXT(Tabel3[[#This Row],[TANGGAL ]],"DDDD"))</f>
        <v>Selasa</v>
      </c>
      <c r="E117" s="14" t="s">
        <v>6</v>
      </c>
      <c r="F117" s="16">
        <v>400000</v>
      </c>
      <c r="G117" s="14" t="s">
        <v>45</v>
      </c>
      <c r="J117" s="2"/>
    </row>
    <row r="118" spans="2:10" ht="15.5" x14ac:dyDescent="0.35">
      <c r="B118" s="8">
        <v>112</v>
      </c>
      <c r="C118" s="15">
        <v>45958</v>
      </c>
      <c r="D118" s="14" t="str">
        <f>IF(Tabel3[[#This Row],[TANGGAL ]]="","",TEXT(Tabel3[[#This Row],[TANGGAL ]],"DDDD"))</f>
        <v>Selasa</v>
      </c>
      <c r="E118" s="14" t="s">
        <v>49</v>
      </c>
      <c r="F118" s="16">
        <v>200000</v>
      </c>
      <c r="G118" s="14" t="s">
        <v>46</v>
      </c>
    </row>
    <row r="119" spans="2:10" ht="15.5" x14ac:dyDescent="0.35">
      <c r="B119" s="8">
        <v>113</v>
      </c>
      <c r="C119" s="15">
        <v>45958</v>
      </c>
      <c r="D119" s="14" t="str">
        <f>IF(Tabel3[[#This Row],[TANGGAL ]]="","",TEXT(Tabel3[[#This Row],[TANGGAL ]],"DDDD"))</f>
        <v>Selasa</v>
      </c>
      <c r="E119" s="14" t="s">
        <v>50</v>
      </c>
      <c r="F119" s="16">
        <v>50000</v>
      </c>
      <c r="G119" s="14" t="s">
        <v>52</v>
      </c>
    </row>
    <row r="120" spans="2:10" ht="15.5" x14ac:dyDescent="0.35">
      <c r="B120" s="8">
        <v>114</v>
      </c>
      <c r="C120" s="15">
        <v>45958</v>
      </c>
      <c r="D120" s="14" t="str">
        <f>IF(Tabel3[[#This Row],[TANGGAL ]]="","",TEXT(Tabel3[[#This Row],[TANGGAL ]],"DDDD"))</f>
        <v>Selasa</v>
      </c>
      <c r="E120" s="14" t="s">
        <v>89</v>
      </c>
      <c r="F120" s="16">
        <v>100000</v>
      </c>
      <c r="G120" s="14" t="s">
        <v>42</v>
      </c>
    </row>
    <row r="121" spans="2:10" ht="15.5" x14ac:dyDescent="0.35">
      <c r="B121" s="8">
        <v>115</v>
      </c>
      <c r="C121" s="15">
        <v>45958</v>
      </c>
      <c r="D121" s="14" t="str">
        <f>IF(Tabel3[[#This Row],[TANGGAL ]]="","",TEXT(Tabel3[[#This Row],[TANGGAL ]],"DDDD"))</f>
        <v>Selasa</v>
      </c>
      <c r="E121" s="14" t="s">
        <v>204</v>
      </c>
      <c r="F121" s="16">
        <v>950000</v>
      </c>
      <c r="G121" s="14" t="s">
        <v>91</v>
      </c>
    </row>
    <row r="122" spans="2:10" ht="15.5" x14ac:dyDescent="0.35">
      <c r="B122" s="8">
        <v>116</v>
      </c>
      <c r="C122" s="15">
        <v>45958</v>
      </c>
      <c r="D122" s="14" t="str">
        <f>IF(Tabel3[[#This Row],[TANGGAL ]]="","",TEXT(Tabel3[[#This Row],[TANGGAL ]],"DDDD"))</f>
        <v>Selasa</v>
      </c>
      <c r="E122" s="14" t="s">
        <v>204</v>
      </c>
      <c r="F122" s="16">
        <v>80000</v>
      </c>
      <c r="G122" s="14" t="s">
        <v>93</v>
      </c>
    </row>
    <row r="123" spans="2:10" ht="15.5" x14ac:dyDescent="0.35">
      <c r="B123" s="8">
        <v>117</v>
      </c>
      <c r="C123" s="15">
        <v>45958</v>
      </c>
      <c r="D123" s="14" t="str">
        <f>IF(Tabel3[[#This Row],[TANGGAL ]]="","",TEXT(Tabel3[[#This Row],[TANGGAL ]],"DDDD"))</f>
        <v>Selasa</v>
      </c>
      <c r="E123" s="14" t="s">
        <v>205</v>
      </c>
      <c r="F123" s="16">
        <v>72000</v>
      </c>
      <c r="G123" s="14" t="s">
        <v>92</v>
      </c>
    </row>
    <row r="124" spans="2:10" ht="15.5" x14ac:dyDescent="0.35">
      <c r="B124" s="8">
        <v>118</v>
      </c>
      <c r="C124" s="15">
        <v>45958</v>
      </c>
      <c r="D124" s="14" t="str">
        <f>IF(Tabel3[[#This Row],[TANGGAL ]]="","",TEXT(Tabel3[[#This Row],[TANGGAL ]],"DDDD"))</f>
        <v>Selasa</v>
      </c>
      <c r="E124" s="14" t="s">
        <v>204</v>
      </c>
      <c r="F124" s="16">
        <v>45000</v>
      </c>
      <c r="G124" s="14" t="s">
        <v>94</v>
      </c>
    </row>
    <row r="125" spans="2:10" ht="15.5" x14ac:dyDescent="0.35">
      <c r="B125" s="8">
        <v>119</v>
      </c>
      <c r="C125" s="15">
        <v>45958</v>
      </c>
      <c r="D125" s="14" t="str">
        <f>IF(Tabel3[[#This Row],[TANGGAL ]]="","",TEXT(Tabel3[[#This Row],[TANGGAL ]],"DDDD"))</f>
        <v>Selasa</v>
      </c>
      <c r="E125" s="14" t="s">
        <v>156</v>
      </c>
      <c r="F125" s="16">
        <v>70000</v>
      </c>
      <c r="G125" s="14" t="s">
        <v>95</v>
      </c>
    </row>
    <row r="126" spans="2:10" ht="15.5" x14ac:dyDescent="0.35">
      <c r="B126" s="8">
        <v>120</v>
      </c>
      <c r="C126" s="15">
        <v>45958</v>
      </c>
      <c r="D126" s="14" t="str">
        <f>IF(Tabel3[[#This Row],[TANGGAL ]]="","",TEXT(Tabel3[[#This Row],[TANGGAL ]],"DDDD"))</f>
        <v>Selasa</v>
      </c>
      <c r="E126" s="14" t="s">
        <v>206</v>
      </c>
      <c r="F126" s="16">
        <v>512000</v>
      </c>
      <c r="G126" s="14" t="s">
        <v>96</v>
      </c>
    </row>
    <row r="127" spans="2:10" ht="15.5" x14ac:dyDescent="0.35">
      <c r="B127" s="8">
        <v>121</v>
      </c>
      <c r="C127" s="15">
        <v>45958</v>
      </c>
      <c r="D127" s="14" t="str">
        <f>IF(Tabel3[[#This Row],[TANGGAL ]]="","",TEXT(Tabel3[[#This Row],[TANGGAL ]],"DDDD"))</f>
        <v>Selasa</v>
      </c>
      <c r="E127" s="14" t="s">
        <v>206</v>
      </c>
      <c r="F127" s="16">
        <v>500000</v>
      </c>
      <c r="G127" s="14" t="s">
        <v>97</v>
      </c>
    </row>
    <row r="128" spans="2:10" ht="15.5" x14ac:dyDescent="0.35">
      <c r="B128" s="8">
        <v>122</v>
      </c>
      <c r="C128" s="15">
        <v>45958</v>
      </c>
      <c r="D128" s="14" t="str">
        <f>IF(Tabel3[[#This Row],[TANGGAL ]]="","",TEXT(Tabel3[[#This Row],[TANGGAL ]],"DDDD"))</f>
        <v>Selasa</v>
      </c>
      <c r="E128" s="14" t="s">
        <v>90</v>
      </c>
      <c r="F128" s="16">
        <v>8000000</v>
      </c>
      <c r="G128" s="14" t="s">
        <v>98</v>
      </c>
    </row>
    <row r="129" spans="2:10" ht="15.5" x14ac:dyDescent="0.35">
      <c r="B129" s="8">
        <v>123</v>
      </c>
      <c r="C129" s="15">
        <v>45958</v>
      </c>
      <c r="D129" s="14" t="str">
        <f>IF(Tabel3[[#This Row],[TANGGAL ]]="","",TEXT(Tabel3[[#This Row],[TANGGAL ]],"DDDD"))</f>
        <v>Selasa</v>
      </c>
      <c r="E129" s="14" t="s">
        <v>99</v>
      </c>
      <c r="F129" s="16">
        <v>35000000</v>
      </c>
      <c r="G129" s="14" t="s">
        <v>138</v>
      </c>
    </row>
    <row r="130" spans="2:10" ht="15.5" x14ac:dyDescent="0.35">
      <c r="B130" s="8">
        <v>124</v>
      </c>
      <c r="C130" s="15">
        <v>45959</v>
      </c>
      <c r="D130" s="14" t="str">
        <f>IF(Tabel3[[#This Row],[TANGGAL ]]="","",TEXT(Tabel3[[#This Row],[TANGGAL ]],"DDDD"))</f>
        <v>Rabu</v>
      </c>
      <c r="E130" s="14" t="s">
        <v>6</v>
      </c>
      <c r="F130" s="16">
        <v>400000</v>
      </c>
      <c r="G130" s="14" t="s">
        <v>45</v>
      </c>
      <c r="J130" s="2"/>
    </row>
    <row r="131" spans="2:10" ht="15.5" x14ac:dyDescent="0.35">
      <c r="B131" s="8">
        <v>125</v>
      </c>
      <c r="C131" s="15">
        <v>45959</v>
      </c>
      <c r="D131" s="14" t="str">
        <f>IF(Tabel3[[#This Row],[TANGGAL ]]="","",TEXT(Tabel3[[#This Row],[TANGGAL ]],"DDDD"))</f>
        <v>Rabu</v>
      </c>
      <c r="E131" s="14" t="s">
        <v>6</v>
      </c>
      <c r="F131" s="16">
        <v>400000</v>
      </c>
      <c r="G131" s="14" t="s">
        <v>45</v>
      </c>
    </row>
    <row r="132" spans="2:10" ht="15.5" x14ac:dyDescent="0.35">
      <c r="B132" s="8">
        <v>126</v>
      </c>
      <c r="C132" s="15">
        <v>45959</v>
      </c>
      <c r="D132" s="14" t="str">
        <f>IF(Tabel3[[#This Row],[TANGGAL ]]="","",TEXT(Tabel3[[#This Row],[TANGGAL ]],"DDDD"))</f>
        <v>Rabu</v>
      </c>
      <c r="E132" s="14" t="s">
        <v>6</v>
      </c>
      <c r="F132" s="16">
        <v>400000</v>
      </c>
      <c r="G132" s="14" t="s">
        <v>45</v>
      </c>
    </row>
    <row r="133" spans="2:10" ht="15.5" x14ac:dyDescent="0.35">
      <c r="B133" s="8">
        <v>127</v>
      </c>
      <c r="C133" s="15">
        <v>45959</v>
      </c>
      <c r="D133" s="14" t="str">
        <f>IF(Tabel3[[#This Row],[TANGGAL ]]="","",TEXT(Tabel3[[#This Row],[TANGGAL ]],"DDDD"))</f>
        <v>Rabu</v>
      </c>
      <c r="E133" s="14" t="s">
        <v>49</v>
      </c>
      <c r="F133" s="16">
        <v>200000</v>
      </c>
      <c r="G133" s="14" t="s">
        <v>46</v>
      </c>
      <c r="J133" s="2"/>
    </row>
    <row r="134" spans="2:10" ht="15.5" x14ac:dyDescent="0.35">
      <c r="B134" s="8">
        <v>128</v>
      </c>
      <c r="C134" s="15">
        <v>45959</v>
      </c>
      <c r="D134" s="14" t="str">
        <f>IF(Tabel3[[#This Row],[TANGGAL ]]="","",TEXT(Tabel3[[#This Row],[TANGGAL ]],"DDDD"))</f>
        <v>Rabu</v>
      </c>
      <c r="E134" s="14" t="s">
        <v>62</v>
      </c>
      <c r="F134" s="16">
        <v>200000</v>
      </c>
      <c r="G134" s="14" t="s">
        <v>64</v>
      </c>
    </row>
    <row r="135" spans="2:10" ht="15.5" x14ac:dyDescent="0.35">
      <c r="B135" s="8">
        <v>129</v>
      </c>
      <c r="C135" s="15">
        <v>45959</v>
      </c>
      <c r="D135" s="14" t="str">
        <f>IF(Tabel3[[#This Row],[TANGGAL ]]="","",TEXT(Tabel3[[#This Row],[TANGGAL ]],"DDDD"))</f>
        <v>Rabu</v>
      </c>
      <c r="E135" s="14" t="s">
        <v>89</v>
      </c>
      <c r="F135" s="16">
        <v>200000</v>
      </c>
      <c r="G135" s="14" t="s">
        <v>42</v>
      </c>
    </row>
    <row r="136" spans="2:10" ht="15.5" x14ac:dyDescent="0.35">
      <c r="B136" s="8">
        <v>130</v>
      </c>
      <c r="C136" s="15">
        <v>45959</v>
      </c>
      <c r="D136" s="14" t="str">
        <f>IF(Tabel3[[#This Row],[TANGGAL ]]="","",TEXT(Tabel3[[#This Row],[TANGGAL ]],"DDDD"))</f>
        <v>Rabu</v>
      </c>
      <c r="E136" s="14" t="s">
        <v>207</v>
      </c>
      <c r="F136" s="16">
        <v>25000</v>
      </c>
      <c r="G136" s="14" t="s">
        <v>105</v>
      </c>
    </row>
    <row r="137" spans="2:10" ht="15.5" x14ac:dyDescent="0.35">
      <c r="B137" s="8">
        <v>131</v>
      </c>
      <c r="C137" s="15">
        <v>45959</v>
      </c>
      <c r="D137" s="14" t="str">
        <f>IF(Tabel3[[#This Row],[TANGGAL ]]="","",TEXT(Tabel3[[#This Row],[TANGGAL ]],"DDDD"))</f>
        <v>Rabu</v>
      </c>
      <c r="E137" s="14" t="s">
        <v>72</v>
      </c>
      <c r="F137" s="16">
        <v>4000000</v>
      </c>
      <c r="G137" s="14" t="s">
        <v>106</v>
      </c>
    </row>
    <row r="138" spans="2:10" ht="15.5" x14ac:dyDescent="0.35">
      <c r="B138" s="8">
        <v>133</v>
      </c>
      <c r="C138" s="15">
        <v>45959</v>
      </c>
      <c r="D138" s="14" t="str">
        <f>IF(Tabel3[[#This Row],[TANGGAL ]]="","",TEXT(Tabel3[[#This Row],[TANGGAL ]],"DDDD"))</f>
        <v>Rabu</v>
      </c>
      <c r="E138" s="14" t="s">
        <v>104</v>
      </c>
      <c r="F138" s="16">
        <v>60000</v>
      </c>
      <c r="G138" s="14" t="s">
        <v>107</v>
      </c>
    </row>
    <row r="139" spans="2:10" ht="15.5" x14ac:dyDescent="0.35">
      <c r="B139" s="8">
        <v>134</v>
      </c>
      <c r="C139" s="15">
        <v>45960</v>
      </c>
      <c r="D139" s="14" t="str">
        <f>IF(Tabel3[[#This Row],[TANGGAL ]]="","",TEXT(Tabel3[[#This Row],[TANGGAL ]],"DDDD"))</f>
        <v>Kamis</v>
      </c>
      <c r="E139" s="14" t="s">
        <v>6</v>
      </c>
      <c r="F139" s="16">
        <v>200000</v>
      </c>
      <c r="G139" s="14" t="s">
        <v>45</v>
      </c>
    </row>
    <row r="140" spans="2:10" ht="15.5" x14ac:dyDescent="0.35">
      <c r="B140" s="8">
        <v>135</v>
      </c>
      <c r="C140" s="15">
        <v>45960</v>
      </c>
      <c r="D140" s="14" t="str">
        <f>IF(Tabel3[[#This Row],[TANGGAL ]]="","",TEXT(Tabel3[[#This Row],[TANGGAL ]],"DDDD"))</f>
        <v>Kamis</v>
      </c>
      <c r="E140" s="14" t="s">
        <v>6</v>
      </c>
      <c r="F140" s="16">
        <v>200000</v>
      </c>
      <c r="G140" s="14" t="s">
        <v>45</v>
      </c>
    </row>
    <row r="141" spans="2:10" ht="15.5" x14ac:dyDescent="0.35">
      <c r="B141" s="8">
        <v>136</v>
      </c>
      <c r="C141" s="15">
        <v>45960</v>
      </c>
      <c r="D141" s="14" t="str">
        <f>IF(Tabel3[[#This Row],[TANGGAL ]]="","",TEXT(Tabel3[[#This Row],[TANGGAL ]],"DDDD"))</f>
        <v>Kamis</v>
      </c>
      <c r="E141" s="14" t="s">
        <v>6</v>
      </c>
      <c r="F141" s="16">
        <v>200000</v>
      </c>
      <c r="G141" s="14" t="s">
        <v>45</v>
      </c>
    </row>
    <row r="142" spans="2:10" ht="15.5" x14ac:dyDescent="0.35">
      <c r="B142" s="8">
        <v>137</v>
      </c>
      <c r="C142" s="15">
        <v>45960</v>
      </c>
      <c r="D142" s="14" t="str">
        <f>IF(Tabel3[[#This Row],[TANGGAL ]]="","",TEXT(Tabel3[[#This Row],[TANGGAL ]],"DDDD"))</f>
        <v>Kamis</v>
      </c>
      <c r="E142" s="14" t="s">
        <v>49</v>
      </c>
      <c r="F142" s="16">
        <v>100000</v>
      </c>
      <c r="G142" s="14" t="s">
        <v>46</v>
      </c>
    </row>
    <row r="143" spans="2:10" ht="15.5" x14ac:dyDescent="0.35">
      <c r="B143" s="8">
        <v>138</v>
      </c>
      <c r="C143" s="15">
        <v>45960</v>
      </c>
      <c r="D143" s="14" t="str">
        <f>IF(Tabel3[[#This Row],[TANGGAL ]]="","",TEXT(Tabel3[[#This Row],[TANGGAL ]],"DDDD"))</f>
        <v>Kamis</v>
      </c>
      <c r="E143" s="14" t="s">
        <v>59</v>
      </c>
      <c r="F143" s="16">
        <v>150000</v>
      </c>
      <c r="G143" s="14" t="s">
        <v>63</v>
      </c>
    </row>
    <row r="144" spans="2:10" ht="15.5" x14ac:dyDescent="0.35">
      <c r="B144" s="8">
        <v>139</v>
      </c>
      <c r="C144" s="15">
        <v>45960</v>
      </c>
      <c r="D144" s="14" t="str">
        <f>IF(Tabel3[[#This Row],[TANGGAL ]]="","",TEXT(Tabel3[[#This Row],[TANGGAL ]],"DDDD"))</f>
        <v>Kamis</v>
      </c>
      <c r="E144" s="14" t="s">
        <v>108</v>
      </c>
      <c r="F144" s="16">
        <v>200000</v>
      </c>
      <c r="G144" s="14" t="s">
        <v>111</v>
      </c>
    </row>
    <row r="145" spans="2:10" ht="15.5" x14ac:dyDescent="0.35">
      <c r="B145" s="8">
        <v>140</v>
      </c>
      <c r="C145" s="15">
        <v>45960</v>
      </c>
      <c r="D145" s="14" t="str">
        <f>IF(Tabel3[[#This Row],[TANGGAL ]]="","",TEXT(Tabel3[[#This Row],[TANGGAL ]],"DDDD"))</f>
        <v>Kamis</v>
      </c>
      <c r="E145" s="14" t="s">
        <v>89</v>
      </c>
      <c r="F145" s="16">
        <v>100000</v>
      </c>
      <c r="G145" s="14" t="s">
        <v>42</v>
      </c>
    </row>
    <row r="146" spans="2:10" ht="15.5" x14ac:dyDescent="0.35">
      <c r="B146" s="8">
        <v>141</v>
      </c>
      <c r="C146" s="15">
        <v>45960</v>
      </c>
      <c r="D146" s="14" t="str">
        <f>IF(Tabel3[[#This Row],[TANGGAL ]]="","",TEXT(Tabel3[[#This Row],[TANGGAL ]],"DDDD"))</f>
        <v>Kamis</v>
      </c>
      <c r="E146" s="14" t="s">
        <v>109</v>
      </c>
      <c r="F146" s="16">
        <v>82000</v>
      </c>
      <c r="G146" s="14" t="s">
        <v>112</v>
      </c>
    </row>
    <row r="147" spans="2:10" ht="15.5" x14ac:dyDescent="0.35">
      <c r="B147" s="8">
        <v>142</v>
      </c>
      <c r="C147" s="15">
        <v>45960</v>
      </c>
      <c r="D147" s="14" t="str">
        <f>IF(Tabel3[[#This Row],[TANGGAL ]]="","",TEXT(Tabel3[[#This Row],[TANGGAL ]],"DDDD"))</f>
        <v>Kamis</v>
      </c>
      <c r="E147" s="14" t="s">
        <v>110</v>
      </c>
      <c r="F147" s="16">
        <v>70000</v>
      </c>
      <c r="G147" s="14" t="s">
        <v>113</v>
      </c>
      <c r="J147" s="2"/>
    </row>
    <row r="148" spans="2:10" ht="15.5" x14ac:dyDescent="0.35">
      <c r="B148" s="8">
        <v>143</v>
      </c>
      <c r="C148" s="15">
        <v>45960</v>
      </c>
      <c r="D148" s="14" t="str">
        <f>IF(Tabel3[[#This Row],[TANGGAL ]]="","",TEXT(Tabel3[[#This Row],[TANGGAL ]],"DDDD"))</f>
        <v>Kamis</v>
      </c>
      <c r="E148" s="14" t="s">
        <v>50</v>
      </c>
      <c r="F148" s="16">
        <v>100000</v>
      </c>
      <c r="G148" s="14" t="s">
        <v>52</v>
      </c>
    </row>
    <row r="149" spans="2:10" ht="15.5" x14ac:dyDescent="0.35">
      <c r="B149" s="8">
        <v>143</v>
      </c>
      <c r="C149" s="15">
        <v>45961</v>
      </c>
      <c r="D149" s="14" t="str">
        <f>IF(Tabel3[[#This Row],[TANGGAL ]]="","",TEXT(Tabel3[[#This Row],[TANGGAL ]],"DDDD"))</f>
        <v>Jumat</v>
      </c>
      <c r="E149" s="14" t="s">
        <v>6</v>
      </c>
      <c r="F149" s="16">
        <v>400000</v>
      </c>
      <c r="G149" s="14" t="s">
        <v>45</v>
      </c>
    </row>
    <row r="150" spans="2:10" ht="15.5" x14ac:dyDescent="0.35">
      <c r="B150" s="8">
        <v>144</v>
      </c>
      <c r="C150" s="15">
        <v>45961</v>
      </c>
      <c r="D150" s="14" t="str">
        <f>IF(Tabel3[[#This Row],[TANGGAL ]]="","",TEXT(Tabel3[[#This Row],[TANGGAL ]],"DDDD"))</f>
        <v>Jumat</v>
      </c>
      <c r="E150" s="14" t="s">
        <v>6</v>
      </c>
      <c r="F150" s="16">
        <v>400000</v>
      </c>
      <c r="G150" s="14" t="s">
        <v>45</v>
      </c>
    </row>
    <row r="151" spans="2:10" ht="15.5" x14ac:dyDescent="0.35">
      <c r="B151" s="8">
        <v>145</v>
      </c>
      <c r="C151" s="15">
        <v>45961</v>
      </c>
      <c r="D151" s="14" t="str">
        <f>IF(Tabel3[[#This Row],[TANGGAL ]]="","",TEXT(Tabel3[[#This Row],[TANGGAL ]],"DDDD"))</f>
        <v>Jumat</v>
      </c>
      <c r="E151" s="14" t="s">
        <v>6</v>
      </c>
      <c r="F151" s="16">
        <v>400000</v>
      </c>
      <c r="G151" s="14" t="s">
        <v>45</v>
      </c>
    </row>
    <row r="152" spans="2:10" ht="15.5" x14ac:dyDescent="0.35">
      <c r="B152" s="8">
        <v>146</v>
      </c>
      <c r="C152" s="15">
        <v>45961</v>
      </c>
      <c r="D152" s="14" t="str">
        <f>IF(Tabel3[[#This Row],[TANGGAL ]]="","",TEXT(Tabel3[[#This Row],[TANGGAL ]],"DDDD"))</f>
        <v>Jumat</v>
      </c>
      <c r="E152" s="14" t="s">
        <v>108</v>
      </c>
      <c r="F152" s="16">
        <v>400000</v>
      </c>
      <c r="G152" s="14" t="s">
        <v>111</v>
      </c>
    </row>
    <row r="153" spans="2:10" ht="15.5" x14ac:dyDescent="0.35">
      <c r="B153" s="8">
        <v>147</v>
      </c>
      <c r="C153" s="15">
        <v>45961</v>
      </c>
      <c r="D153" s="14" t="str">
        <f>IF(Tabel3[[#This Row],[TANGGAL ]]="","",TEXT(Tabel3[[#This Row],[TANGGAL ]],"DDDD"))</f>
        <v>Jumat</v>
      </c>
      <c r="E153" s="14" t="s">
        <v>49</v>
      </c>
      <c r="F153" s="16">
        <v>200000</v>
      </c>
      <c r="G153" s="14" t="s">
        <v>46</v>
      </c>
      <c r="J153" s="2"/>
    </row>
    <row r="154" spans="2:10" ht="15.5" x14ac:dyDescent="0.35">
      <c r="B154" s="8">
        <v>148</v>
      </c>
      <c r="C154" s="15">
        <v>45961</v>
      </c>
      <c r="D154" s="14" t="str">
        <f>IF(Tabel3[[#This Row],[TANGGAL ]]="","",TEXT(Tabel3[[#This Row],[TANGGAL ]],"DDDD"))</f>
        <v>Jumat</v>
      </c>
      <c r="E154" s="14" t="s">
        <v>114</v>
      </c>
      <c r="F154" s="16">
        <v>200000</v>
      </c>
      <c r="G154" s="14" t="s">
        <v>116</v>
      </c>
    </row>
    <row r="155" spans="2:10" ht="15.5" x14ac:dyDescent="0.35">
      <c r="B155" s="8">
        <v>149</v>
      </c>
      <c r="C155" s="15">
        <v>45961</v>
      </c>
      <c r="D155" s="14" t="str">
        <f>IF(Tabel3[[#This Row],[TANGGAL ]]="","",TEXT(Tabel3[[#This Row],[TANGGAL ]],"DDDD"))</f>
        <v>Jumat</v>
      </c>
      <c r="E155" s="14" t="s">
        <v>115</v>
      </c>
      <c r="F155" s="16">
        <v>5000000</v>
      </c>
      <c r="G155" s="14" t="s">
        <v>88</v>
      </c>
    </row>
    <row r="156" spans="2:10" ht="15.5" x14ac:dyDescent="0.35">
      <c r="B156" s="8">
        <v>149</v>
      </c>
      <c r="C156" s="15">
        <v>45962</v>
      </c>
      <c r="D156" s="14" t="str">
        <f>IF(Tabel3[[#This Row],[TANGGAL ]]="","",TEXT(Tabel3[[#This Row],[TANGGAL ]],"DDDD"))</f>
        <v>Sabtu</v>
      </c>
      <c r="E156" s="14" t="s">
        <v>6</v>
      </c>
      <c r="F156" s="16">
        <v>400000</v>
      </c>
      <c r="G156" s="14" t="s">
        <v>45</v>
      </c>
    </row>
    <row r="157" spans="2:10" ht="15.5" x14ac:dyDescent="0.35">
      <c r="B157" s="8">
        <v>150</v>
      </c>
      <c r="C157" s="15">
        <v>45962</v>
      </c>
      <c r="D157" s="14" t="str">
        <f>IF(Tabel3[[#This Row],[TANGGAL ]]="","",TEXT(Tabel3[[#This Row],[TANGGAL ]],"DDDD"))</f>
        <v>Sabtu</v>
      </c>
      <c r="E157" s="14" t="s">
        <v>6</v>
      </c>
      <c r="F157" s="16">
        <v>400000</v>
      </c>
      <c r="G157" s="14" t="s">
        <v>45</v>
      </c>
    </row>
    <row r="158" spans="2:10" ht="15.5" x14ac:dyDescent="0.35">
      <c r="B158" s="8">
        <v>151</v>
      </c>
      <c r="C158" s="15">
        <v>45962</v>
      </c>
      <c r="D158" s="14" t="str">
        <f>IF(Tabel3[[#This Row],[TANGGAL ]]="","",TEXT(Tabel3[[#This Row],[TANGGAL ]],"DDDD"))</f>
        <v>Sabtu</v>
      </c>
      <c r="E158" s="14" t="s">
        <v>49</v>
      </c>
      <c r="F158" s="16">
        <v>200000</v>
      </c>
      <c r="G158" s="14" t="s">
        <v>46</v>
      </c>
    </row>
    <row r="159" spans="2:10" ht="15.5" x14ac:dyDescent="0.35">
      <c r="B159" s="8">
        <v>152</v>
      </c>
      <c r="C159" s="15">
        <v>45962</v>
      </c>
      <c r="D159" s="14" t="str">
        <f>IF(Tabel3[[#This Row],[TANGGAL ]]="","",TEXT(Tabel3[[#This Row],[TANGGAL ]],"DDDD"))</f>
        <v>Sabtu</v>
      </c>
      <c r="E159" s="14" t="s">
        <v>108</v>
      </c>
      <c r="F159" s="16">
        <v>400000</v>
      </c>
      <c r="G159" s="14" t="s">
        <v>111</v>
      </c>
      <c r="I159" s="2"/>
    </row>
    <row r="160" spans="2:10" ht="15.5" x14ac:dyDescent="0.35">
      <c r="B160" s="8">
        <v>153</v>
      </c>
      <c r="C160" s="15">
        <v>45962</v>
      </c>
      <c r="D160" s="14" t="str">
        <f>IF(Tabel3[[#This Row],[TANGGAL ]]="","",TEXT(Tabel3[[#This Row],[TANGGAL ]],"DDDD"))</f>
        <v>Sabtu</v>
      </c>
      <c r="E160" s="14" t="s">
        <v>114</v>
      </c>
      <c r="F160" s="16">
        <v>200000</v>
      </c>
      <c r="G160" s="14" t="s">
        <v>116</v>
      </c>
    </row>
    <row r="161" spans="2:9" ht="15.5" x14ac:dyDescent="0.35">
      <c r="B161" s="8">
        <v>154</v>
      </c>
      <c r="C161" s="15">
        <v>45962</v>
      </c>
      <c r="D161" s="14" t="str">
        <f>IF(Tabel3[[#This Row],[TANGGAL ]]="","",TEXT(Tabel3[[#This Row],[TANGGAL ]],"DDDD"))</f>
        <v>Sabtu</v>
      </c>
      <c r="E161" s="14" t="s">
        <v>109</v>
      </c>
      <c r="F161" s="16">
        <v>70000</v>
      </c>
      <c r="G161" s="14" t="s">
        <v>117</v>
      </c>
    </row>
    <row r="162" spans="2:9" ht="15.5" x14ac:dyDescent="0.35">
      <c r="B162" s="8">
        <v>155</v>
      </c>
      <c r="C162" s="15">
        <v>45962</v>
      </c>
      <c r="D162" s="14" t="str">
        <f>IF(Tabel3[[#This Row],[TANGGAL ]]="","",TEXT(Tabel3[[#This Row],[TANGGAL ]],"DDDD"))</f>
        <v>Sabtu</v>
      </c>
      <c r="E162" s="14" t="s">
        <v>208</v>
      </c>
      <c r="F162" s="16">
        <v>1000000</v>
      </c>
      <c r="G162" s="14" t="s">
        <v>118</v>
      </c>
    </row>
    <row r="163" spans="2:9" ht="15.5" x14ac:dyDescent="0.35">
      <c r="B163" s="8">
        <v>156</v>
      </c>
      <c r="C163" s="15">
        <v>45963</v>
      </c>
      <c r="D163" s="14" t="str">
        <f>IF(Tabel3[[#This Row],[TANGGAL ]]="","",TEXT(Tabel3[[#This Row],[TANGGAL ]],"DDDD"))</f>
        <v>Minggu</v>
      </c>
      <c r="E163" s="14" t="s">
        <v>6</v>
      </c>
      <c r="F163" s="16">
        <v>400000</v>
      </c>
      <c r="G163" s="14" t="s">
        <v>45</v>
      </c>
    </row>
    <row r="164" spans="2:9" ht="15.5" x14ac:dyDescent="0.35">
      <c r="B164" s="8">
        <v>157</v>
      </c>
      <c r="C164" s="15">
        <v>45963</v>
      </c>
      <c r="D164" s="14" t="str">
        <f>IF(Tabel3[[#This Row],[TANGGAL ]]="","",TEXT(Tabel3[[#This Row],[TANGGAL ]],"DDDD"))</f>
        <v>Minggu</v>
      </c>
      <c r="E164" s="14" t="s">
        <v>6</v>
      </c>
      <c r="F164" s="16">
        <v>400000</v>
      </c>
      <c r="G164" s="14" t="s">
        <v>45</v>
      </c>
      <c r="I164" s="2"/>
    </row>
    <row r="165" spans="2:9" ht="15.5" x14ac:dyDescent="0.35">
      <c r="B165" s="8">
        <v>158</v>
      </c>
      <c r="C165" s="15">
        <v>45963</v>
      </c>
      <c r="D165" s="14" t="str">
        <f>IF(Tabel3[[#This Row],[TANGGAL ]]="","",TEXT(Tabel3[[#This Row],[TANGGAL ]],"DDDD"))</f>
        <v>Minggu</v>
      </c>
      <c r="E165" s="14" t="s">
        <v>6</v>
      </c>
      <c r="F165" s="16">
        <v>400000</v>
      </c>
      <c r="G165" s="14" t="s">
        <v>45</v>
      </c>
    </row>
    <row r="166" spans="2:9" ht="15.5" x14ac:dyDescent="0.35">
      <c r="B166" s="8">
        <v>159</v>
      </c>
      <c r="C166" s="15">
        <v>45963</v>
      </c>
      <c r="D166" s="14" t="str">
        <f>IF(Tabel3[[#This Row],[TANGGAL ]]="","",TEXT(Tabel3[[#This Row],[TANGGAL ]],"DDDD"))</f>
        <v>Minggu</v>
      </c>
      <c r="E166" s="14" t="s">
        <v>49</v>
      </c>
      <c r="F166" s="16">
        <v>200000</v>
      </c>
      <c r="G166" s="14" t="s">
        <v>46</v>
      </c>
    </row>
    <row r="167" spans="2:9" ht="15.5" x14ac:dyDescent="0.35">
      <c r="B167" s="8">
        <v>160</v>
      </c>
      <c r="C167" s="15">
        <v>45963</v>
      </c>
      <c r="D167" s="14" t="str">
        <f>IF(Tabel3[[#This Row],[TANGGAL ]]="","",TEXT(Tabel3[[#This Row],[TANGGAL ]],"DDDD"))</f>
        <v>Minggu</v>
      </c>
      <c r="E167" s="14" t="s">
        <v>108</v>
      </c>
      <c r="F167" s="16">
        <v>400000</v>
      </c>
      <c r="G167" s="14" t="s">
        <v>111</v>
      </c>
    </row>
    <row r="168" spans="2:9" ht="15.5" x14ac:dyDescent="0.35">
      <c r="B168" s="8">
        <v>161</v>
      </c>
      <c r="C168" s="15">
        <v>45963</v>
      </c>
      <c r="D168" s="14" t="str">
        <f>IF(Tabel3[[#This Row],[TANGGAL ]]="","",TEXT(Tabel3[[#This Row],[TANGGAL ]],"DDDD"))</f>
        <v>Minggu</v>
      </c>
      <c r="E168" s="14" t="s">
        <v>114</v>
      </c>
      <c r="F168" s="16">
        <v>200000</v>
      </c>
      <c r="G168" s="14" t="s">
        <v>116</v>
      </c>
    </row>
    <row r="169" spans="2:9" ht="15.5" x14ac:dyDescent="0.35">
      <c r="B169" s="8">
        <v>162</v>
      </c>
      <c r="C169" s="15">
        <v>45963</v>
      </c>
      <c r="D169" s="14" t="str">
        <f>IF(Tabel3[[#This Row],[TANGGAL ]]="","",TEXT(Tabel3[[#This Row],[TANGGAL ]],"DDDD"))</f>
        <v>Minggu</v>
      </c>
      <c r="E169" s="14" t="s">
        <v>119</v>
      </c>
      <c r="F169" s="16">
        <v>210000</v>
      </c>
      <c r="G169" s="14" t="s">
        <v>120</v>
      </c>
    </row>
    <row r="170" spans="2:9" x14ac:dyDescent="0.35">
      <c r="B170" s="12">
        <v>163</v>
      </c>
      <c r="C170" s="15">
        <v>45964</v>
      </c>
      <c r="D170" s="14" t="str">
        <f>IF(Tabel3[[#This Row],[TANGGAL ]]="","",TEXT(Tabel3[[#This Row],[TANGGAL ]],"DDDD"))</f>
        <v>Senin</v>
      </c>
      <c r="E170" s="14" t="s">
        <v>6</v>
      </c>
      <c r="F170" s="16">
        <v>400000</v>
      </c>
      <c r="G170" s="14" t="s">
        <v>45</v>
      </c>
    </row>
    <row r="171" spans="2:9" x14ac:dyDescent="0.35">
      <c r="B171" s="12">
        <v>164</v>
      </c>
      <c r="C171" s="15">
        <v>45964</v>
      </c>
      <c r="D171" s="14" t="str">
        <f>IF(Tabel3[[#This Row],[TANGGAL ]]="","",TEXT(Tabel3[[#This Row],[TANGGAL ]],"DDDD"))</f>
        <v>Senin</v>
      </c>
      <c r="E171" s="14" t="s">
        <v>6</v>
      </c>
      <c r="F171" s="16">
        <v>400000</v>
      </c>
      <c r="G171" s="14" t="s">
        <v>45</v>
      </c>
    </row>
    <row r="172" spans="2:9" x14ac:dyDescent="0.35">
      <c r="B172" s="12">
        <v>165</v>
      </c>
      <c r="C172" s="15">
        <v>45964</v>
      </c>
      <c r="D172" s="14" t="str">
        <f>IF(Tabel3[[#This Row],[TANGGAL ]]="","",TEXT(Tabel3[[#This Row],[TANGGAL ]],"DDDD"))</f>
        <v>Senin</v>
      </c>
      <c r="E172" s="14" t="s">
        <v>49</v>
      </c>
      <c r="F172" s="16">
        <v>200000</v>
      </c>
      <c r="G172" s="14" t="s">
        <v>46</v>
      </c>
    </row>
    <row r="173" spans="2:9" x14ac:dyDescent="0.35">
      <c r="B173" s="12">
        <v>166</v>
      </c>
      <c r="C173" s="15">
        <v>45964</v>
      </c>
      <c r="D173" s="14" t="str">
        <f>IF(Tabel3[[#This Row],[TANGGAL ]]="","",TEXT(Tabel3[[#This Row],[TANGGAL ]],"DDDD"))</f>
        <v>Senin</v>
      </c>
      <c r="E173" s="14" t="s">
        <v>108</v>
      </c>
      <c r="F173" s="16">
        <v>400000</v>
      </c>
      <c r="G173" s="14" t="s">
        <v>111</v>
      </c>
    </row>
    <row r="174" spans="2:9" x14ac:dyDescent="0.35">
      <c r="B174" s="12">
        <v>167</v>
      </c>
      <c r="C174" s="15">
        <v>45964</v>
      </c>
      <c r="D174" s="14" t="str">
        <f>IF(Tabel3[[#This Row],[TANGGAL ]]="","",TEXT(Tabel3[[#This Row],[TANGGAL ]],"DDDD"))</f>
        <v>Senin</v>
      </c>
      <c r="E174" s="14" t="s">
        <v>59</v>
      </c>
      <c r="F174" s="16">
        <v>300000</v>
      </c>
      <c r="G174" s="14" t="s">
        <v>63</v>
      </c>
      <c r="I174" s="2"/>
    </row>
    <row r="175" spans="2:9" x14ac:dyDescent="0.35">
      <c r="B175" s="12">
        <v>168</v>
      </c>
      <c r="C175" s="15">
        <v>45964</v>
      </c>
      <c r="D175" s="14" t="str">
        <f>IF(Tabel3[[#This Row],[TANGGAL ]]="","",TEXT(Tabel3[[#This Row],[TANGGAL ]],"DDDD"))</f>
        <v>Senin</v>
      </c>
      <c r="E175" s="14" t="s">
        <v>50</v>
      </c>
      <c r="F175" s="16">
        <v>50000</v>
      </c>
      <c r="G175" s="14" t="s">
        <v>52</v>
      </c>
    </row>
    <row r="176" spans="2:9" x14ac:dyDescent="0.35">
      <c r="B176" s="12">
        <v>169</v>
      </c>
      <c r="C176" s="15">
        <v>45964</v>
      </c>
      <c r="D176" s="14" t="str">
        <f>IF(Tabel3[[#This Row],[TANGGAL ]]="","",TEXT(Tabel3[[#This Row],[TANGGAL ]],"DDDD"))</f>
        <v>Senin</v>
      </c>
      <c r="E176" s="14" t="s">
        <v>114</v>
      </c>
      <c r="F176" s="16">
        <v>200000</v>
      </c>
      <c r="G176" s="14" t="s">
        <v>116</v>
      </c>
    </row>
    <row r="177" spans="2:9" x14ac:dyDescent="0.35">
      <c r="B177" s="12">
        <v>170</v>
      </c>
      <c r="C177" s="15">
        <v>45964</v>
      </c>
      <c r="D177" s="14" t="str">
        <f>IF(Tabel3[[#This Row],[TANGGAL ]]="","",TEXT(Tabel3[[#This Row],[TANGGAL ]],"DDDD"))</f>
        <v>Senin</v>
      </c>
      <c r="E177" s="14" t="s">
        <v>109</v>
      </c>
      <c r="F177" s="16">
        <v>144000</v>
      </c>
      <c r="G177" s="14" t="s">
        <v>121</v>
      </c>
    </row>
    <row r="178" spans="2:9" x14ac:dyDescent="0.35">
      <c r="B178" s="12">
        <v>171</v>
      </c>
      <c r="C178" s="15">
        <v>45964</v>
      </c>
      <c r="D178" s="14" t="str">
        <f>IF(Tabel3[[#This Row],[TANGGAL ]]="","",TEXT(Tabel3[[#This Row],[TANGGAL ]],"DDDD"))</f>
        <v>Senin</v>
      </c>
      <c r="E178" s="14" t="s">
        <v>119</v>
      </c>
      <c r="F178" s="16">
        <v>120000</v>
      </c>
      <c r="G178" s="14" t="s">
        <v>120</v>
      </c>
    </row>
    <row r="179" spans="2:9" x14ac:dyDescent="0.35">
      <c r="B179" s="12">
        <v>172</v>
      </c>
      <c r="C179" s="15">
        <v>45964</v>
      </c>
      <c r="D179" s="14" t="str">
        <f>IF(Tabel3[[#This Row],[TANGGAL ]]="","",TEXT(Tabel3[[#This Row],[TANGGAL ]],"DDDD"))</f>
        <v>Senin</v>
      </c>
      <c r="E179" s="14" t="s">
        <v>122</v>
      </c>
      <c r="F179" s="16">
        <v>12950000</v>
      </c>
      <c r="G179" s="14" t="s">
        <v>123</v>
      </c>
      <c r="I179" s="2"/>
    </row>
    <row r="180" spans="2:9" x14ac:dyDescent="0.35">
      <c r="B180" s="12">
        <v>173</v>
      </c>
      <c r="C180" s="15">
        <v>45964</v>
      </c>
      <c r="D180" s="14" t="str">
        <f>IF(Tabel3[[#This Row],[TANGGAL ]]="","",TEXT(Tabel3[[#This Row],[TANGGAL ]],"DDDD"))</f>
        <v>Senin</v>
      </c>
      <c r="E180" s="14" t="s">
        <v>209</v>
      </c>
      <c r="F180" s="16">
        <v>25000000</v>
      </c>
      <c r="G180" s="14" t="s">
        <v>124</v>
      </c>
    </row>
    <row r="181" spans="2:9" x14ac:dyDescent="0.35">
      <c r="B181" s="12">
        <v>174</v>
      </c>
      <c r="C181" s="15">
        <v>45965</v>
      </c>
      <c r="D181" s="14" t="str">
        <f>IF(Tabel3[[#This Row],[TANGGAL ]]="","",TEXT(Tabel3[[#This Row],[TANGGAL ]],"DDDD"))</f>
        <v>Selasa</v>
      </c>
      <c r="E181" s="14" t="s">
        <v>6</v>
      </c>
      <c r="F181" s="16">
        <v>400000</v>
      </c>
      <c r="G181" s="14" t="s">
        <v>45</v>
      </c>
    </row>
    <row r="182" spans="2:9" x14ac:dyDescent="0.35">
      <c r="B182" s="12">
        <v>175</v>
      </c>
      <c r="C182" s="15">
        <v>45965</v>
      </c>
      <c r="D182" s="14" t="str">
        <f>IF(Tabel3[[#This Row],[TANGGAL ]]="","",TEXT(Tabel3[[#This Row],[TANGGAL ]],"DDDD"))</f>
        <v>Selasa</v>
      </c>
      <c r="E182" s="14" t="s">
        <v>6</v>
      </c>
      <c r="F182" s="16">
        <v>400000</v>
      </c>
      <c r="G182" s="14" t="s">
        <v>45</v>
      </c>
    </row>
    <row r="183" spans="2:9" x14ac:dyDescent="0.35">
      <c r="B183" s="12">
        <v>176</v>
      </c>
      <c r="C183" s="15">
        <v>45965</v>
      </c>
      <c r="D183" s="14" t="str">
        <f>IF(Tabel3[[#This Row],[TANGGAL ]]="","",TEXT(Tabel3[[#This Row],[TANGGAL ]],"DDDD"))</f>
        <v>Selasa</v>
      </c>
      <c r="E183" s="14" t="s">
        <v>6</v>
      </c>
      <c r="F183" s="16">
        <v>400000</v>
      </c>
      <c r="G183" s="14" t="s">
        <v>45</v>
      </c>
    </row>
    <row r="184" spans="2:9" x14ac:dyDescent="0.35">
      <c r="B184" s="12">
        <v>177</v>
      </c>
      <c r="C184" s="15">
        <v>45965</v>
      </c>
      <c r="D184" s="14" t="str">
        <f>IF(Tabel3[[#This Row],[TANGGAL ]]="","",TEXT(Tabel3[[#This Row],[TANGGAL ]],"DDDD"))</f>
        <v>Selasa</v>
      </c>
      <c r="E184" s="14" t="s">
        <v>49</v>
      </c>
      <c r="F184" s="16">
        <v>200000</v>
      </c>
      <c r="G184" s="14" t="s">
        <v>46</v>
      </c>
    </row>
    <row r="185" spans="2:9" x14ac:dyDescent="0.35">
      <c r="B185" s="12">
        <v>178</v>
      </c>
      <c r="C185" s="15">
        <v>45965</v>
      </c>
      <c r="D185" s="14" t="str">
        <f>IF(Tabel3[[#This Row],[TANGGAL ]]="","",TEXT(Tabel3[[#This Row],[TANGGAL ]],"DDDD"))</f>
        <v>Selasa</v>
      </c>
      <c r="E185" s="14" t="s">
        <v>108</v>
      </c>
      <c r="F185" s="16">
        <v>400000</v>
      </c>
      <c r="G185" s="14" t="s">
        <v>111</v>
      </c>
    </row>
    <row r="186" spans="2:9" x14ac:dyDescent="0.35">
      <c r="B186" s="12">
        <v>179</v>
      </c>
      <c r="C186" s="15">
        <v>45965</v>
      </c>
      <c r="D186" s="14" t="str">
        <f>IF(Tabel3[[#This Row],[TANGGAL ]]="","",TEXT(Tabel3[[#This Row],[TANGGAL ]],"DDDD"))</f>
        <v>Selasa</v>
      </c>
      <c r="E186" s="14" t="s">
        <v>114</v>
      </c>
      <c r="F186" s="16">
        <v>200000</v>
      </c>
      <c r="G186" s="14" t="s">
        <v>116</v>
      </c>
    </row>
    <row r="187" spans="2:9" x14ac:dyDescent="0.35">
      <c r="B187" s="12">
        <v>180</v>
      </c>
      <c r="C187" s="15">
        <v>45965</v>
      </c>
      <c r="D187" s="14" t="str">
        <f>IF(Tabel3[[#This Row],[TANGGAL ]]="","",TEXT(Tabel3[[#This Row],[TANGGAL ]],"DDDD"))</f>
        <v>Selasa</v>
      </c>
      <c r="E187" s="14" t="s">
        <v>156</v>
      </c>
      <c r="F187" s="16">
        <v>465000</v>
      </c>
      <c r="G187" s="14" t="s">
        <v>125</v>
      </c>
    </row>
    <row r="188" spans="2:9" x14ac:dyDescent="0.35">
      <c r="B188" s="12">
        <v>181</v>
      </c>
      <c r="C188" s="15">
        <v>45965</v>
      </c>
      <c r="D188" s="14" t="str">
        <f>IF(Tabel3[[#This Row],[TANGGAL ]]="","",TEXT(Tabel3[[#This Row],[TANGGAL ]],"DDDD"))</f>
        <v>Selasa</v>
      </c>
      <c r="E188" s="14" t="s">
        <v>119</v>
      </c>
      <c r="F188" s="16">
        <v>170000</v>
      </c>
      <c r="G188" s="14" t="s">
        <v>126</v>
      </c>
    </row>
    <row r="189" spans="2:9" x14ac:dyDescent="0.35">
      <c r="B189" s="12">
        <v>182</v>
      </c>
      <c r="C189" s="15">
        <v>45965</v>
      </c>
      <c r="D189" s="14" t="str">
        <f>IF(Tabel3[[#This Row],[TANGGAL ]]="","",TEXT(Tabel3[[#This Row],[TANGGAL ]],"DDDD"))</f>
        <v>Selasa</v>
      </c>
      <c r="E189" s="14" t="s">
        <v>210</v>
      </c>
      <c r="F189" s="16">
        <v>30000000</v>
      </c>
      <c r="G189" s="14" t="s">
        <v>139</v>
      </c>
    </row>
    <row r="190" spans="2:9" x14ac:dyDescent="0.35">
      <c r="B190" s="12">
        <v>183</v>
      </c>
      <c r="C190" s="15">
        <v>45966</v>
      </c>
      <c r="D190" s="14" t="str">
        <f>IF(Tabel3[[#This Row],[TANGGAL ]]="","",TEXT(Tabel3[[#This Row],[TANGGAL ]],"DDDD"))</f>
        <v>Rabu</v>
      </c>
      <c r="E190" s="14" t="s">
        <v>6</v>
      </c>
      <c r="F190" s="16">
        <v>400000</v>
      </c>
      <c r="G190" s="14" t="s">
        <v>45</v>
      </c>
    </row>
    <row r="191" spans="2:9" x14ac:dyDescent="0.35">
      <c r="B191" s="12">
        <v>184</v>
      </c>
      <c r="C191" s="15">
        <v>45966</v>
      </c>
      <c r="D191" s="14" t="str">
        <f>IF(Tabel3[[#This Row],[TANGGAL ]]="","",TEXT(Tabel3[[#This Row],[TANGGAL ]],"DDDD"))</f>
        <v>Rabu</v>
      </c>
      <c r="E191" s="14" t="s">
        <v>6</v>
      </c>
      <c r="F191" s="16">
        <v>400000</v>
      </c>
      <c r="G191" s="14" t="s">
        <v>45</v>
      </c>
    </row>
    <row r="192" spans="2:9" x14ac:dyDescent="0.35">
      <c r="B192" s="12">
        <v>185</v>
      </c>
      <c r="C192" s="15">
        <v>45966</v>
      </c>
      <c r="D192" s="14" t="str">
        <f>IF(Tabel3[[#This Row],[TANGGAL ]]="","",TEXT(Tabel3[[#This Row],[TANGGAL ]],"DDDD"))</f>
        <v>Rabu</v>
      </c>
      <c r="E192" s="14" t="s">
        <v>49</v>
      </c>
      <c r="F192" s="16">
        <v>200000</v>
      </c>
      <c r="G192" s="14" t="s">
        <v>46</v>
      </c>
    </row>
    <row r="193" spans="2:9" x14ac:dyDescent="0.35">
      <c r="B193" s="12">
        <v>186</v>
      </c>
      <c r="C193" s="15">
        <v>45966</v>
      </c>
      <c r="D193" s="14" t="str">
        <f>IF(Tabel3[[#This Row],[TANGGAL ]]="","",TEXT(Tabel3[[#This Row],[TANGGAL ]],"DDDD"))</f>
        <v>Rabu</v>
      </c>
      <c r="E193" s="14" t="s">
        <v>108</v>
      </c>
      <c r="F193" s="16">
        <v>400000</v>
      </c>
      <c r="G193" s="14" t="s">
        <v>111</v>
      </c>
    </row>
    <row r="194" spans="2:9" x14ac:dyDescent="0.35">
      <c r="B194" s="12">
        <v>187</v>
      </c>
      <c r="C194" s="15">
        <v>45966</v>
      </c>
      <c r="D194" s="14" t="str">
        <f>IF(Tabel3[[#This Row],[TANGGAL ]]="","",TEXT(Tabel3[[#This Row],[TANGGAL ]],"DDDD"))</f>
        <v>Rabu</v>
      </c>
      <c r="E194" s="14" t="s">
        <v>114</v>
      </c>
      <c r="F194" s="16">
        <v>200000</v>
      </c>
      <c r="G194" s="14" t="s">
        <v>116</v>
      </c>
    </row>
    <row r="195" spans="2:9" x14ac:dyDescent="0.35">
      <c r="B195" s="12">
        <v>188</v>
      </c>
      <c r="C195" s="15">
        <v>45966</v>
      </c>
      <c r="D195" s="14" t="str">
        <f>IF(Tabel3[[#This Row],[TANGGAL ]]="","",TEXT(Tabel3[[#This Row],[TANGGAL ]],"DDDD"))</f>
        <v>Rabu</v>
      </c>
      <c r="E195" s="14" t="s">
        <v>211</v>
      </c>
      <c r="F195" s="16">
        <v>350000</v>
      </c>
      <c r="G195" s="14" t="s">
        <v>127</v>
      </c>
    </row>
    <row r="196" spans="2:9" x14ac:dyDescent="0.35">
      <c r="B196" s="12">
        <v>189</v>
      </c>
      <c r="C196" s="15">
        <v>45966</v>
      </c>
      <c r="D196" s="14" t="str">
        <f>IF(Tabel3[[#This Row],[TANGGAL ]]="","",TEXT(Tabel3[[#This Row],[TANGGAL ]],"DDDD"))</f>
        <v>Rabu</v>
      </c>
      <c r="E196" s="14" t="s">
        <v>119</v>
      </c>
      <c r="F196" s="16">
        <v>90000</v>
      </c>
      <c r="G196" s="14" t="s">
        <v>120</v>
      </c>
    </row>
    <row r="197" spans="2:9" x14ac:dyDescent="0.35">
      <c r="B197" s="12"/>
      <c r="C197" s="15">
        <v>45966</v>
      </c>
      <c r="D197" s="57" t="str">
        <f>IF(Tabel3[[#This Row],[TANGGAL ]]="","",TEXT(Tabel3[[#This Row],[TANGGAL ]],"DDDD"))</f>
        <v>Rabu</v>
      </c>
      <c r="E197" s="58" t="s">
        <v>218</v>
      </c>
      <c r="F197" s="59">
        <v>5000000</v>
      </c>
      <c r="G197" s="58"/>
    </row>
    <row r="198" spans="2:9" x14ac:dyDescent="0.35">
      <c r="B198" s="12">
        <v>190</v>
      </c>
      <c r="C198" s="15">
        <v>45967</v>
      </c>
      <c r="D198" s="14" t="str">
        <f>IF(Tabel3[[#This Row],[TANGGAL ]]="","",TEXT(Tabel3[[#This Row],[TANGGAL ]],"DDDD"))</f>
        <v>Kamis</v>
      </c>
      <c r="E198" s="14" t="s">
        <v>6</v>
      </c>
      <c r="F198" s="16">
        <v>400000</v>
      </c>
      <c r="G198" s="14" t="s">
        <v>129</v>
      </c>
    </row>
    <row r="199" spans="2:9" x14ac:dyDescent="0.35">
      <c r="B199" s="12">
        <v>191</v>
      </c>
      <c r="C199" s="15">
        <v>45967</v>
      </c>
      <c r="D199" s="14" t="str">
        <f>IF(Tabel3[[#This Row],[TANGGAL ]]="","",TEXT(Tabel3[[#This Row],[TANGGAL ]],"DDDD"))</f>
        <v>Kamis</v>
      </c>
      <c r="E199" s="14" t="s">
        <v>6</v>
      </c>
      <c r="F199" s="16">
        <v>200000</v>
      </c>
      <c r="G199" s="14" t="s">
        <v>129</v>
      </c>
    </row>
    <row r="200" spans="2:9" x14ac:dyDescent="0.35">
      <c r="B200" s="12">
        <v>192</v>
      </c>
      <c r="C200" s="15">
        <v>45967</v>
      </c>
      <c r="D200" s="14" t="str">
        <f>IF(Tabel3[[#This Row],[TANGGAL ]]="","",TEXT(Tabel3[[#This Row],[TANGGAL ]],"DDDD"))</f>
        <v>Kamis</v>
      </c>
      <c r="E200" s="14" t="s">
        <v>49</v>
      </c>
      <c r="F200" s="16">
        <v>200000</v>
      </c>
      <c r="G200" s="14" t="s">
        <v>130</v>
      </c>
    </row>
    <row r="201" spans="2:9" x14ac:dyDescent="0.35">
      <c r="B201" s="12">
        <v>193</v>
      </c>
      <c r="C201" s="15">
        <v>45967</v>
      </c>
      <c r="D201" s="14" t="str">
        <f>IF(Tabel3[[#This Row],[TANGGAL ]]="","",TEXT(Tabel3[[#This Row],[TANGGAL ]],"DDDD"))</f>
        <v>Kamis</v>
      </c>
      <c r="E201" s="14" t="s">
        <v>108</v>
      </c>
      <c r="F201" s="16">
        <v>400000</v>
      </c>
      <c r="G201" s="14" t="s">
        <v>131</v>
      </c>
    </row>
    <row r="202" spans="2:9" x14ac:dyDescent="0.35">
      <c r="B202" s="12">
        <v>194</v>
      </c>
      <c r="C202" s="15">
        <v>45967</v>
      </c>
      <c r="D202" s="14" t="str">
        <f>IF(Tabel3[[#This Row],[TANGGAL ]]="","",TEXT(Tabel3[[#This Row],[TANGGAL ]],"DDDD"))</f>
        <v>Kamis</v>
      </c>
      <c r="E202" s="14" t="s">
        <v>128</v>
      </c>
      <c r="F202" s="16">
        <v>200000</v>
      </c>
      <c r="G202" s="14" t="s">
        <v>132</v>
      </c>
      <c r="I202" s="2"/>
    </row>
    <row r="203" spans="2:9" x14ac:dyDescent="0.35">
      <c r="B203" s="12">
        <v>195</v>
      </c>
      <c r="C203" s="15">
        <v>45967</v>
      </c>
      <c r="D203" s="14" t="str">
        <f>IF(Tabel3[[#This Row],[TANGGAL ]]="","",TEXT(Tabel3[[#This Row],[TANGGAL ]],"DDDD"))</f>
        <v>Kamis</v>
      </c>
      <c r="E203" s="14" t="s">
        <v>50</v>
      </c>
      <c r="F203" s="16">
        <v>50000</v>
      </c>
      <c r="G203" s="14" t="s">
        <v>133</v>
      </c>
    </row>
    <row r="204" spans="2:9" x14ac:dyDescent="0.35">
      <c r="B204" s="12">
        <v>196</v>
      </c>
      <c r="C204" s="15">
        <v>45967</v>
      </c>
      <c r="D204" s="14" t="str">
        <f>IF(Tabel3[[#This Row],[TANGGAL ]]="","",TEXT(Tabel3[[#This Row],[TANGGAL ]],"DDDD"))</f>
        <v>Kamis</v>
      </c>
      <c r="E204" s="14" t="s">
        <v>119</v>
      </c>
      <c r="F204" s="16">
        <f>130000+175000</f>
        <v>305000</v>
      </c>
      <c r="G204" s="14" t="s">
        <v>135</v>
      </c>
    </row>
    <row r="205" spans="2:9" x14ac:dyDescent="0.35">
      <c r="B205" s="12">
        <v>197</v>
      </c>
      <c r="C205" s="15">
        <v>45967</v>
      </c>
      <c r="D205" s="14" t="str">
        <f>IF(Tabel3[[#This Row],[TANGGAL ]]="","",TEXT(Tabel3[[#This Row],[TANGGAL ]],"DDDD"))</f>
        <v>Kamis</v>
      </c>
      <c r="E205" s="14" t="s">
        <v>109</v>
      </c>
      <c r="F205" s="16">
        <v>40000</v>
      </c>
      <c r="G205" s="14" t="s">
        <v>134</v>
      </c>
      <c r="I205" s="2"/>
    </row>
    <row r="206" spans="2:9" x14ac:dyDescent="0.35">
      <c r="B206" s="12">
        <v>198</v>
      </c>
      <c r="C206" s="15">
        <v>45967</v>
      </c>
      <c r="D206" s="14" t="str">
        <f>IF(Tabel3[[#This Row],[TANGGAL ]]="","",TEXT(Tabel3[[#This Row],[TANGGAL ]],"DDDD"))</f>
        <v>Kamis</v>
      </c>
      <c r="E206" s="14" t="s">
        <v>194</v>
      </c>
      <c r="F206" s="16">
        <v>10000</v>
      </c>
      <c r="G206" s="14" t="s">
        <v>136</v>
      </c>
    </row>
    <row r="207" spans="2:9" x14ac:dyDescent="0.35">
      <c r="B207" s="12">
        <v>199</v>
      </c>
      <c r="C207" s="15">
        <v>45967</v>
      </c>
      <c r="D207" s="14" t="str">
        <f>IF(Tabel3[[#This Row],[TANGGAL ]]="","",TEXT(Tabel3[[#This Row],[TANGGAL ]],"DDDD"))</f>
        <v>Kamis</v>
      </c>
      <c r="E207" s="14" t="s">
        <v>148</v>
      </c>
      <c r="F207" s="16">
        <v>10000</v>
      </c>
      <c r="G207" s="14" t="s">
        <v>137</v>
      </c>
      <c r="I207" s="2"/>
    </row>
    <row r="208" spans="2:9" x14ac:dyDescent="0.35">
      <c r="B208" s="12">
        <v>200</v>
      </c>
      <c r="C208" s="15">
        <v>45968</v>
      </c>
      <c r="D208" s="14" t="str">
        <f>IF(Tabel3[[#This Row],[TANGGAL ]]="","",TEXT(Tabel3[[#This Row],[TANGGAL ]],"DDDD"))</f>
        <v>Jumat</v>
      </c>
      <c r="E208" s="14" t="s">
        <v>6</v>
      </c>
      <c r="F208" s="16">
        <v>400000</v>
      </c>
      <c r="G208" s="14" t="s">
        <v>45</v>
      </c>
    </row>
    <row r="209" spans="2:10" x14ac:dyDescent="0.35">
      <c r="B209" s="12">
        <v>201</v>
      </c>
      <c r="C209" s="15">
        <v>45968</v>
      </c>
      <c r="D209" s="14" t="str">
        <f>IF(Tabel3[[#This Row],[TANGGAL ]]="","",TEXT(Tabel3[[#This Row],[TANGGAL ]],"DDDD"))</f>
        <v>Jumat</v>
      </c>
      <c r="E209" s="14" t="s">
        <v>6</v>
      </c>
      <c r="F209" s="16">
        <v>400000</v>
      </c>
      <c r="G209" s="14" t="s">
        <v>45</v>
      </c>
    </row>
    <row r="210" spans="2:10" x14ac:dyDescent="0.35">
      <c r="B210" s="12">
        <v>202</v>
      </c>
      <c r="C210" s="15">
        <v>45968</v>
      </c>
      <c r="D210" s="14" t="str">
        <f>IF(Tabel3[[#This Row],[TANGGAL ]]="","",TEXT(Tabel3[[#This Row],[TANGGAL ]],"DDDD"))</f>
        <v>Jumat</v>
      </c>
      <c r="E210" s="14" t="s">
        <v>49</v>
      </c>
      <c r="F210" s="16">
        <v>200000</v>
      </c>
      <c r="G210" s="14" t="s">
        <v>46</v>
      </c>
    </row>
    <row r="211" spans="2:10" x14ac:dyDescent="0.35">
      <c r="B211" s="12">
        <v>203</v>
      </c>
      <c r="C211" s="15">
        <v>45968</v>
      </c>
      <c r="D211" s="14" t="str">
        <f>IF(Tabel3[[#This Row],[TANGGAL ]]="","",TEXT(Tabel3[[#This Row],[TANGGAL ]],"DDDD"))</f>
        <v>Jumat</v>
      </c>
      <c r="E211" s="14" t="s">
        <v>108</v>
      </c>
      <c r="F211" s="16">
        <v>400000</v>
      </c>
      <c r="G211" s="14" t="s">
        <v>111</v>
      </c>
    </row>
    <row r="212" spans="2:10" x14ac:dyDescent="0.35">
      <c r="B212" s="12">
        <v>204</v>
      </c>
      <c r="C212" s="15">
        <v>45968</v>
      </c>
      <c r="D212" s="14" t="str">
        <f>IF(Tabel3[[#This Row],[TANGGAL ]]="","",TEXT(Tabel3[[#This Row],[TANGGAL ]],"DDDD"))</f>
        <v>Jumat</v>
      </c>
      <c r="E212" s="14" t="s">
        <v>128</v>
      </c>
      <c r="F212" s="16">
        <v>200000</v>
      </c>
      <c r="G212" s="14" t="s">
        <v>140</v>
      </c>
    </row>
    <row r="213" spans="2:10" x14ac:dyDescent="0.35">
      <c r="B213" s="12">
        <v>205</v>
      </c>
      <c r="C213" s="15">
        <v>45968</v>
      </c>
      <c r="D213" s="14" t="str">
        <f>IF(Tabel3[[#This Row],[TANGGAL ]]="","",TEXT(Tabel3[[#This Row],[TANGGAL ]],"DDDD"))</f>
        <v>Jumat</v>
      </c>
      <c r="E213" s="14" t="s">
        <v>109</v>
      </c>
      <c r="F213" s="16">
        <v>116000</v>
      </c>
      <c r="G213" s="14" t="s">
        <v>121</v>
      </c>
    </row>
    <row r="214" spans="2:10" x14ac:dyDescent="0.35">
      <c r="B214" s="12">
        <v>206</v>
      </c>
      <c r="C214" s="15">
        <v>45968</v>
      </c>
      <c r="D214" s="14" t="str">
        <f>IF(Tabel3[[#This Row],[TANGGAL ]]="","",TEXT(Tabel3[[#This Row],[TANGGAL ]],"DDDD"))</f>
        <v>Jumat</v>
      </c>
      <c r="E214" s="14" t="s">
        <v>119</v>
      </c>
      <c r="F214" s="16">
        <v>480000</v>
      </c>
      <c r="G214" s="14" t="s">
        <v>141</v>
      </c>
    </row>
    <row r="215" spans="2:10" x14ac:dyDescent="0.35">
      <c r="B215" s="12">
        <v>207</v>
      </c>
      <c r="C215" s="15">
        <v>45968</v>
      </c>
      <c r="D215" s="14" t="str">
        <f>IF(Tabel3[[#This Row],[TANGGAL ]]="","",TEXT(Tabel3[[#This Row],[TANGGAL ]],"DDDD"))</f>
        <v>Jumat</v>
      </c>
      <c r="E215" s="14" t="s">
        <v>156</v>
      </c>
      <c r="F215" s="16">
        <v>435000</v>
      </c>
      <c r="G215" s="14" t="s">
        <v>142</v>
      </c>
    </row>
    <row r="216" spans="2:10" x14ac:dyDescent="0.35">
      <c r="B216" s="12">
        <v>208</v>
      </c>
      <c r="C216" s="15">
        <v>45969</v>
      </c>
      <c r="D216" s="14" t="str">
        <f>IF(Tabel3[[#This Row],[TANGGAL ]]="","",TEXT(Tabel3[[#This Row],[TANGGAL ]],"DDDD"))</f>
        <v>Sabtu</v>
      </c>
      <c r="E216" s="14" t="s">
        <v>6</v>
      </c>
      <c r="F216" s="16">
        <v>800000</v>
      </c>
      <c r="G216" s="14" t="s">
        <v>45</v>
      </c>
    </row>
    <row r="217" spans="2:10" x14ac:dyDescent="0.35">
      <c r="B217" s="12">
        <v>209</v>
      </c>
      <c r="C217" s="15">
        <v>45969</v>
      </c>
      <c r="D217" s="14" t="str">
        <f>IF(Tabel3[[#This Row],[TANGGAL ]]="","",TEXT(Tabel3[[#This Row],[TANGGAL ]],"DDDD"))</f>
        <v>Sabtu</v>
      </c>
      <c r="E217" s="14" t="s">
        <v>49</v>
      </c>
      <c r="F217" s="16">
        <v>200000</v>
      </c>
      <c r="G217" s="14" t="s">
        <v>46</v>
      </c>
    </row>
    <row r="218" spans="2:10" x14ac:dyDescent="0.35">
      <c r="B218" s="12">
        <v>210</v>
      </c>
      <c r="C218" s="15">
        <v>45969</v>
      </c>
      <c r="D218" s="14" t="str">
        <f>IF(Tabel3[[#This Row],[TANGGAL ]]="","",TEXT(Tabel3[[#This Row],[TANGGAL ]],"DDDD"))</f>
        <v>Sabtu</v>
      </c>
      <c r="E218" s="14" t="s">
        <v>108</v>
      </c>
      <c r="F218" s="16">
        <v>400000</v>
      </c>
      <c r="G218" s="14" t="s">
        <v>111</v>
      </c>
    </row>
    <row r="219" spans="2:10" x14ac:dyDescent="0.35">
      <c r="B219" s="12">
        <v>211</v>
      </c>
      <c r="C219" s="15">
        <v>45969</v>
      </c>
      <c r="D219" s="14" t="str">
        <f>IF(Tabel3[[#This Row],[TANGGAL ]]="","",TEXT(Tabel3[[#This Row],[TANGGAL ]],"DDDD"))</f>
        <v>Sabtu</v>
      </c>
      <c r="E219" s="14" t="s">
        <v>60</v>
      </c>
      <c r="F219" s="16">
        <v>100000</v>
      </c>
      <c r="G219" s="14" t="s">
        <v>56</v>
      </c>
    </row>
    <row r="220" spans="2:10" x14ac:dyDescent="0.35">
      <c r="B220" s="12">
        <v>212</v>
      </c>
      <c r="C220" s="15">
        <v>45969</v>
      </c>
      <c r="D220" s="14" t="str">
        <f>IF(Tabel3[[#This Row],[TANGGAL ]]="","",TEXT(Tabel3[[#This Row],[TANGGAL ]],"DDDD"))</f>
        <v>Sabtu</v>
      </c>
      <c r="E220" s="14" t="s">
        <v>61</v>
      </c>
      <c r="F220" s="16">
        <v>100000</v>
      </c>
      <c r="G220" s="14" t="s">
        <v>57</v>
      </c>
    </row>
    <row r="221" spans="2:10" x14ac:dyDescent="0.35">
      <c r="B221" s="12">
        <v>213</v>
      </c>
      <c r="C221" s="15">
        <v>45969</v>
      </c>
      <c r="D221" s="14" t="str">
        <f>IF(Tabel3[[#This Row],[TANGGAL ]]="","",TEXT(Tabel3[[#This Row],[TANGGAL ]],"DDDD"))</f>
        <v>Sabtu</v>
      </c>
      <c r="E221" s="14" t="s">
        <v>156</v>
      </c>
      <c r="F221" s="16">
        <v>10000</v>
      </c>
      <c r="G221" s="14" t="s">
        <v>145</v>
      </c>
      <c r="J221" s="2"/>
    </row>
    <row r="222" spans="2:10" x14ac:dyDescent="0.35">
      <c r="B222" s="12">
        <v>214</v>
      </c>
      <c r="C222" s="15">
        <v>45969</v>
      </c>
      <c r="D222" s="14" t="str">
        <f>IF(Tabel3[[#This Row],[TANGGAL ]]="","",TEXT(Tabel3[[#This Row],[TANGGAL ]],"DDDD"))</f>
        <v>Sabtu</v>
      </c>
      <c r="E222" s="14" t="s">
        <v>119</v>
      </c>
      <c r="F222" s="16">
        <v>330000</v>
      </c>
      <c r="G222" s="14" t="s">
        <v>144</v>
      </c>
    </row>
    <row r="223" spans="2:10" x14ac:dyDescent="0.35">
      <c r="B223" s="12">
        <v>215</v>
      </c>
      <c r="C223" s="15">
        <v>45970</v>
      </c>
      <c r="D223" s="14" t="str">
        <f>IF(Tabel3[[#This Row],[TANGGAL ]]="","",TEXT(Tabel3[[#This Row],[TANGGAL ]],"DDDD"))</f>
        <v>Minggu</v>
      </c>
      <c r="E223" s="14" t="s">
        <v>6</v>
      </c>
      <c r="F223" s="16">
        <v>400000</v>
      </c>
      <c r="G223" s="14" t="s">
        <v>45</v>
      </c>
    </row>
    <row r="224" spans="2:10" x14ac:dyDescent="0.35">
      <c r="B224" s="12">
        <v>216</v>
      </c>
      <c r="C224" s="15">
        <v>45970</v>
      </c>
      <c r="D224" s="14" t="str">
        <f>IF(Tabel3[[#This Row],[TANGGAL ]]="","",TEXT(Tabel3[[#This Row],[TANGGAL ]],"DDDD"))</f>
        <v>Minggu</v>
      </c>
      <c r="E224" s="14" t="s">
        <v>108</v>
      </c>
      <c r="F224" s="16">
        <v>400000</v>
      </c>
      <c r="G224" s="14" t="s">
        <v>111</v>
      </c>
    </row>
    <row r="225" spans="2:7" x14ac:dyDescent="0.35">
      <c r="B225" s="12">
        <v>217</v>
      </c>
      <c r="C225" s="15">
        <v>45970</v>
      </c>
      <c r="D225" s="14" t="str">
        <f>IF(Tabel3[[#This Row],[TANGGAL ]]="","",TEXT(Tabel3[[#This Row],[TANGGAL ]],"DDDD"))</f>
        <v>Minggu</v>
      </c>
      <c r="E225" s="14" t="s">
        <v>49</v>
      </c>
      <c r="F225" s="16">
        <v>200000</v>
      </c>
      <c r="G225" s="14" t="s">
        <v>46</v>
      </c>
    </row>
    <row r="226" spans="2:7" x14ac:dyDescent="0.35">
      <c r="B226" s="12">
        <v>218</v>
      </c>
      <c r="C226" s="15">
        <v>45970</v>
      </c>
      <c r="D226" s="14" t="str">
        <f>IF(Tabel3[[#This Row],[TANGGAL ]]="","",TEXT(Tabel3[[#This Row],[TANGGAL ]],"DDDD"))</f>
        <v>Minggu</v>
      </c>
      <c r="E226" s="14" t="s">
        <v>60</v>
      </c>
      <c r="F226" s="16">
        <v>75000</v>
      </c>
      <c r="G226" s="14" t="s">
        <v>56</v>
      </c>
    </row>
    <row r="227" spans="2:7" x14ac:dyDescent="0.35">
      <c r="B227" s="12">
        <v>219</v>
      </c>
      <c r="C227" s="15">
        <v>45970</v>
      </c>
      <c r="D227" s="14" t="str">
        <f>IF(Tabel3[[#This Row],[TANGGAL ]]="","",TEXT(Tabel3[[#This Row],[TANGGAL ]],"DDDD"))</f>
        <v>Minggu</v>
      </c>
      <c r="E227" s="14" t="s">
        <v>61</v>
      </c>
      <c r="F227" s="16">
        <v>75000</v>
      </c>
      <c r="G227" s="14" t="s">
        <v>57</v>
      </c>
    </row>
    <row r="228" spans="2:7" x14ac:dyDescent="0.35">
      <c r="B228" s="12">
        <v>220</v>
      </c>
      <c r="C228" s="15">
        <v>45970</v>
      </c>
      <c r="D228" s="14" t="str">
        <f>IF(Tabel3[[#This Row],[TANGGAL ]]="","",TEXT(Tabel3[[#This Row],[TANGGAL ]],"DDDD"))</f>
        <v>Minggu</v>
      </c>
      <c r="E228" s="14" t="s">
        <v>156</v>
      </c>
      <c r="F228" s="16">
        <v>370000</v>
      </c>
      <c r="G228" s="14" t="s">
        <v>146</v>
      </c>
    </row>
    <row r="229" spans="2:7" x14ac:dyDescent="0.35">
      <c r="B229" s="12">
        <v>221</v>
      </c>
      <c r="C229" s="15">
        <v>45970</v>
      </c>
      <c r="D229" s="14" t="str">
        <f>IF(Tabel3[[#This Row],[TANGGAL ]]="","",TEXT(Tabel3[[#This Row],[TANGGAL ]],"DDDD"))</f>
        <v>Minggu</v>
      </c>
      <c r="E229" s="14" t="s">
        <v>109</v>
      </c>
      <c r="F229" s="16">
        <v>25000</v>
      </c>
      <c r="G229" s="14" t="s">
        <v>112</v>
      </c>
    </row>
    <row r="230" spans="2:7" x14ac:dyDescent="0.35">
      <c r="B230" s="12">
        <v>222</v>
      </c>
      <c r="C230" s="15">
        <v>45971</v>
      </c>
      <c r="D230" s="14" t="str">
        <f>IF(Tabel3[[#This Row],[TANGGAL ]]="","",TEXT(Tabel3[[#This Row],[TANGGAL ]],"DDDD"))</f>
        <v>Senin</v>
      </c>
      <c r="E230" s="14" t="s">
        <v>6</v>
      </c>
      <c r="F230" s="16">
        <v>400000</v>
      </c>
      <c r="G230" s="14" t="s">
        <v>45</v>
      </c>
    </row>
    <row r="231" spans="2:7" x14ac:dyDescent="0.35">
      <c r="B231" s="12">
        <v>223</v>
      </c>
      <c r="C231" s="15">
        <v>45971</v>
      </c>
      <c r="D231" s="14" t="str">
        <f>IF(Tabel3[[#This Row],[TANGGAL ]]="","",TEXT(Tabel3[[#This Row],[TANGGAL ]],"DDDD"))</f>
        <v>Senin</v>
      </c>
      <c r="E231" s="14" t="s">
        <v>49</v>
      </c>
      <c r="F231" s="16">
        <v>200000</v>
      </c>
      <c r="G231" s="14" t="s">
        <v>46</v>
      </c>
    </row>
    <row r="232" spans="2:7" x14ac:dyDescent="0.35">
      <c r="B232" s="12">
        <v>224</v>
      </c>
      <c r="C232" s="15">
        <v>45971</v>
      </c>
      <c r="D232" s="14" t="str">
        <f>IF(Tabel3[[#This Row],[TANGGAL ]]="","",TEXT(Tabel3[[#This Row],[TANGGAL ]],"DDDD"))</f>
        <v>Senin</v>
      </c>
      <c r="E232" s="14" t="s">
        <v>108</v>
      </c>
      <c r="F232" s="16">
        <v>400000</v>
      </c>
      <c r="G232" s="14" t="s">
        <v>111</v>
      </c>
    </row>
    <row r="233" spans="2:7" x14ac:dyDescent="0.35">
      <c r="B233" s="12">
        <v>225</v>
      </c>
      <c r="C233" s="15">
        <v>45971</v>
      </c>
      <c r="D233" s="14" t="str">
        <f>IF(Tabel3[[#This Row],[TANGGAL ]]="","",TEXT(Tabel3[[#This Row],[TANGGAL ]],"DDDD"))</f>
        <v>Senin</v>
      </c>
      <c r="E233" s="14" t="s">
        <v>60</v>
      </c>
      <c r="F233" s="16">
        <v>75000</v>
      </c>
      <c r="G233" s="14" t="s">
        <v>56</v>
      </c>
    </row>
    <row r="234" spans="2:7" x14ac:dyDescent="0.35">
      <c r="B234" s="12">
        <v>226</v>
      </c>
      <c r="C234" s="15">
        <v>45971</v>
      </c>
      <c r="D234" s="14" t="str">
        <f>IF(Tabel3[[#This Row],[TANGGAL ]]="","",TEXT(Tabel3[[#This Row],[TANGGAL ]],"DDDD"))</f>
        <v>Senin</v>
      </c>
      <c r="E234" s="14" t="s">
        <v>61</v>
      </c>
      <c r="F234" s="16">
        <v>75000</v>
      </c>
      <c r="G234" s="14" t="s">
        <v>57</v>
      </c>
    </row>
    <row r="235" spans="2:7" x14ac:dyDescent="0.35">
      <c r="B235" s="12">
        <v>227</v>
      </c>
      <c r="C235" s="15">
        <v>45971</v>
      </c>
      <c r="D235" s="14" t="str">
        <f>IF(Tabel3[[#This Row],[TANGGAL ]]="","",TEXT(Tabel3[[#This Row],[TANGGAL ]],"DDDD"))</f>
        <v>Senin</v>
      </c>
      <c r="E235" s="14" t="s">
        <v>156</v>
      </c>
      <c r="F235" s="16">
        <v>159000</v>
      </c>
      <c r="G235" s="14" t="s">
        <v>151</v>
      </c>
    </row>
    <row r="236" spans="2:7" x14ac:dyDescent="0.35">
      <c r="B236" s="12">
        <v>228</v>
      </c>
      <c r="C236" s="15">
        <v>45971</v>
      </c>
      <c r="D236" s="14" t="str">
        <f>IF(Tabel3[[#This Row],[TANGGAL ]]="","",TEXT(Tabel3[[#This Row],[TANGGAL ]],"DDDD"))</f>
        <v>Senin</v>
      </c>
      <c r="E236" s="14" t="s">
        <v>193</v>
      </c>
      <c r="F236" s="16">
        <v>150000</v>
      </c>
      <c r="G236" s="14" t="s">
        <v>149</v>
      </c>
    </row>
    <row r="237" spans="2:7" x14ac:dyDescent="0.35">
      <c r="B237" s="12">
        <v>229</v>
      </c>
      <c r="C237" s="15">
        <v>45971</v>
      </c>
      <c r="D237" s="14" t="str">
        <f>IF(Tabel3[[#This Row],[TANGGAL ]]="","",TEXT(Tabel3[[#This Row],[TANGGAL ]],"DDDD"))</f>
        <v>Senin</v>
      </c>
      <c r="E237" s="14" t="s">
        <v>148</v>
      </c>
      <c r="F237" s="16">
        <v>5000</v>
      </c>
      <c r="G237" s="14" t="s">
        <v>150</v>
      </c>
    </row>
    <row r="238" spans="2:7" x14ac:dyDescent="0.35">
      <c r="B238" s="12">
        <v>230</v>
      </c>
      <c r="C238" s="15">
        <v>45972</v>
      </c>
      <c r="D238" s="14" t="str">
        <f>IF(Tabel3[[#This Row],[TANGGAL ]]="","",TEXT(Tabel3[[#This Row],[TANGGAL ]],"DDDD"))</f>
        <v>Selasa</v>
      </c>
      <c r="E238" s="14" t="s">
        <v>6</v>
      </c>
      <c r="F238" s="16">
        <v>400000</v>
      </c>
      <c r="G238" s="14" t="s">
        <v>129</v>
      </c>
    </row>
    <row r="239" spans="2:7" x14ac:dyDescent="0.35">
      <c r="B239" s="12">
        <v>231</v>
      </c>
      <c r="C239" s="15">
        <v>45972</v>
      </c>
      <c r="D239" s="14" t="str">
        <f>IF(Tabel3[[#This Row],[TANGGAL ]]="","",TEXT(Tabel3[[#This Row],[TANGGAL ]],"DDDD"))</f>
        <v>Selasa</v>
      </c>
      <c r="E239" s="14" t="s">
        <v>49</v>
      </c>
      <c r="F239" s="16">
        <v>200000</v>
      </c>
      <c r="G239" s="14" t="s">
        <v>130</v>
      </c>
    </row>
    <row r="240" spans="2:7" x14ac:dyDescent="0.35">
      <c r="B240" s="12">
        <v>232</v>
      </c>
      <c r="C240" s="15">
        <v>45972</v>
      </c>
      <c r="D240" s="14" t="str">
        <f>IF(Tabel3[[#This Row],[TANGGAL ]]="","",TEXT(Tabel3[[#This Row],[TANGGAL ]],"DDDD"))</f>
        <v>Selasa</v>
      </c>
      <c r="E240" s="14" t="s">
        <v>108</v>
      </c>
      <c r="F240" s="16">
        <v>400000</v>
      </c>
      <c r="G240" s="14" t="s">
        <v>131</v>
      </c>
    </row>
    <row r="241" spans="2:7" x14ac:dyDescent="0.35">
      <c r="B241" s="12">
        <v>233</v>
      </c>
      <c r="C241" s="15">
        <v>45972</v>
      </c>
      <c r="D241" s="14" t="str">
        <f>IF(Tabel3[[#This Row],[TANGGAL ]]="","",TEXT(Tabel3[[#This Row],[TANGGAL ]],"DDDD"))</f>
        <v>Selasa</v>
      </c>
      <c r="E241" s="14" t="s">
        <v>60</v>
      </c>
      <c r="F241" s="16">
        <v>80000</v>
      </c>
      <c r="G241" s="14" t="s">
        <v>153</v>
      </c>
    </row>
    <row r="242" spans="2:7" x14ac:dyDescent="0.35">
      <c r="B242" s="12">
        <v>234</v>
      </c>
      <c r="C242" s="15">
        <v>45972</v>
      </c>
      <c r="D242" s="14" t="str">
        <f>IF(Tabel3[[#This Row],[TANGGAL ]]="","",TEXT(Tabel3[[#This Row],[TANGGAL ]],"DDDD"))</f>
        <v>Selasa</v>
      </c>
      <c r="E242" s="14" t="s">
        <v>61</v>
      </c>
      <c r="F242" s="16">
        <v>80000</v>
      </c>
      <c r="G242" s="14" t="s">
        <v>154</v>
      </c>
    </row>
    <row r="243" spans="2:7" x14ac:dyDescent="0.35">
      <c r="B243" s="12">
        <v>235</v>
      </c>
      <c r="C243" s="15">
        <v>45972</v>
      </c>
      <c r="D243" s="14" t="str">
        <f>IF(Tabel3[[#This Row],[TANGGAL ]]="","",TEXT(Tabel3[[#This Row],[TANGGAL ]],"DDDD"))</f>
        <v>Selasa</v>
      </c>
      <c r="E243" s="14" t="s">
        <v>109</v>
      </c>
      <c r="F243" s="16">
        <v>75000</v>
      </c>
      <c r="G243" s="14" t="s">
        <v>155</v>
      </c>
    </row>
    <row r="244" spans="2:7" x14ac:dyDescent="0.35">
      <c r="B244" s="12">
        <v>236</v>
      </c>
      <c r="C244" s="15">
        <v>45972</v>
      </c>
      <c r="D244" s="14" t="str">
        <f>IF(Tabel3[[#This Row],[TANGGAL ]]="","",TEXT(Tabel3[[#This Row],[TANGGAL ]],"DDDD"))</f>
        <v>Selasa</v>
      </c>
      <c r="E244" s="14" t="s">
        <v>156</v>
      </c>
      <c r="F244" s="16">
        <v>895000</v>
      </c>
      <c r="G244" s="14" t="s">
        <v>160</v>
      </c>
    </row>
    <row r="245" spans="2:7" x14ac:dyDescent="0.35">
      <c r="B245" s="12">
        <v>237</v>
      </c>
      <c r="C245" s="15">
        <v>45973</v>
      </c>
      <c r="D245" s="14" t="str">
        <f>IF(Tabel3[[#This Row],[TANGGAL ]]="","",TEXT(Tabel3[[#This Row],[TANGGAL ]],"DDDD"))</f>
        <v>Rabu</v>
      </c>
      <c r="E245" s="14" t="s">
        <v>6</v>
      </c>
      <c r="F245" s="16">
        <v>400000</v>
      </c>
      <c r="G245" s="14" t="s">
        <v>45</v>
      </c>
    </row>
    <row r="246" spans="2:7" x14ac:dyDescent="0.35">
      <c r="B246" s="12">
        <v>238</v>
      </c>
      <c r="C246" s="15">
        <v>45973</v>
      </c>
      <c r="D246" s="14" t="str">
        <f>IF(Tabel3[[#This Row],[TANGGAL ]]="","",TEXT(Tabel3[[#This Row],[TANGGAL ]],"DDDD"))</f>
        <v>Rabu</v>
      </c>
      <c r="E246" s="14" t="s">
        <v>49</v>
      </c>
      <c r="F246" s="16">
        <v>200000</v>
      </c>
      <c r="G246" s="14" t="s">
        <v>46</v>
      </c>
    </row>
    <row r="247" spans="2:7" x14ac:dyDescent="0.35">
      <c r="B247" s="12">
        <v>239</v>
      </c>
      <c r="C247" s="15">
        <v>45973</v>
      </c>
      <c r="D247" s="14" t="str">
        <f>IF(Tabel3[[#This Row],[TANGGAL ]]="","",TEXT(Tabel3[[#This Row],[TANGGAL ]],"DDDD"))</f>
        <v>Rabu</v>
      </c>
      <c r="E247" s="14" t="s">
        <v>59</v>
      </c>
      <c r="F247" s="16">
        <v>100000</v>
      </c>
      <c r="G247" s="14" t="s">
        <v>63</v>
      </c>
    </row>
    <row r="248" spans="2:7" x14ac:dyDescent="0.35">
      <c r="B248" s="12">
        <v>240</v>
      </c>
      <c r="C248" s="15">
        <v>45973</v>
      </c>
      <c r="D248" s="14" t="str">
        <f>IF(Tabel3[[#This Row],[TANGGAL ]]="","",TEXT(Tabel3[[#This Row],[TANGGAL ]],"DDDD"))</f>
        <v>Rabu</v>
      </c>
      <c r="E248" s="14" t="s">
        <v>108</v>
      </c>
      <c r="F248" s="16">
        <v>400000</v>
      </c>
      <c r="G248" s="14" t="s">
        <v>111</v>
      </c>
    </row>
    <row r="249" spans="2:7" x14ac:dyDescent="0.35">
      <c r="B249" s="12">
        <v>241</v>
      </c>
      <c r="C249" s="15">
        <v>45973</v>
      </c>
      <c r="D249" s="14" t="str">
        <f>IF(Tabel3[[#This Row],[TANGGAL ]]="","",TEXT(Tabel3[[#This Row],[TANGGAL ]],"DDDD"))</f>
        <v>Rabu</v>
      </c>
      <c r="E249" s="14" t="s">
        <v>60</v>
      </c>
      <c r="F249" s="16">
        <v>75000</v>
      </c>
      <c r="G249" s="14" t="s">
        <v>56</v>
      </c>
    </row>
    <row r="250" spans="2:7" x14ac:dyDescent="0.35">
      <c r="B250" s="12">
        <v>242</v>
      </c>
      <c r="C250" s="15">
        <v>45973</v>
      </c>
      <c r="D250" s="14" t="str">
        <f>IF(Tabel3[[#This Row],[TANGGAL ]]="","",TEXT(Tabel3[[#This Row],[TANGGAL ]],"DDDD"))</f>
        <v>Rabu</v>
      </c>
      <c r="E250" s="14" t="s">
        <v>61</v>
      </c>
      <c r="F250" s="16">
        <v>75000</v>
      </c>
      <c r="G250" s="14" t="s">
        <v>57</v>
      </c>
    </row>
    <row r="251" spans="2:7" x14ac:dyDescent="0.35">
      <c r="B251" s="12">
        <v>243</v>
      </c>
      <c r="C251" s="15">
        <v>45973</v>
      </c>
      <c r="D251" s="14" t="str">
        <f>IF(Tabel3[[#This Row],[TANGGAL ]]="","",TEXT(Tabel3[[#This Row],[TANGGAL ]],"DDDD"))</f>
        <v>Rabu</v>
      </c>
      <c r="E251" s="14" t="s">
        <v>156</v>
      </c>
      <c r="F251" s="16">
        <v>240000</v>
      </c>
      <c r="G251" s="14" t="s">
        <v>157</v>
      </c>
    </row>
    <row r="252" spans="2:7" x14ac:dyDescent="0.35">
      <c r="B252" s="12">
        <v>244</v>
      </c>
      <c r="C252" s="15">
        <v>45973</v>
      </c>
      <c r="D252" s="14" t="str">
        <f>IF(Tabel3[[#This Row],[TANGGAL ]]="","",TEXT(Tabel3[[#This Row],[TANGGAL ]],"DDDD"))</f>
        <v>Rabu</v>
      </c>
      <c r="E252" s="14" t="s">
        <v>212</v>
      </c>
      <c r="F252" s="16">
        <v>5304000</v>
      </c>
      <c r="G252" s="14" t="s">
        <v>158</v>
      </c>
    </row>
    <row r="253" spans="2:7" x14ac:dyDescent="0.35">
      <c r="B253" s="12">
        <v>245</v>
      </c>
      <c r="C253" s="15">
        <v>45974</v>
      </c>
      <c r="D253" s="14" t="str">
        <f>IF(Tabel3[[#This Row],[TANGGAL ]]="","",TEXT(Tabel3[[#This Row],[TANGGAL ]],"DDDD"))</f>
        <v>Kamis</v>
      </c>
      <c r="E253" s="14" t="s">
        <v>6</v>
      </c>
      <c r="F253" s="16">
        <v>400000</v>
      </c>
      <c r="G253" s="14" t="s">
        <v>163</v>
      </c>
    </row>
    <row r="254" spans="2:7" x14ac:dyDescent="0.35">
      <c r="B254" s="12">
        <v>246</v>
      </c>
      <c r="C254" s="15">
        <v>45974</v>
      </c>
      <c r="D254" s="14" t="str">
        <f>IF(Tabel3[[#This Row],[TANGGAL ]]="","",TEXT(Tabel3[[#This Row],[TANGGAL ]],"DDDD"))</f>
        <v>Kamis</v>
      </c>
      <c r="E254" s="14" t="s">
        <v>49</v>
      </c>
      <c r="F254" s="16">
        <v>200000</v>
      </c>
      <c r="G254" s="14" t="s">
        <v>164</v>
      </c>
    </row>
    <row r="255" spans="2:7" x14ac:dyDescent="0.35">
      <c r="B255" s="12">
        <v>247</v>
      </c>
      <c r="C255" s="15">
        <v>45974</v>
      </c>
      <c r="D255" s="14" t="str">
        <f>IF(Tabel3[[#This Row],[TANGGAL ]]="","",TEXT(Tabel3[[#This Row],[TANGGAL ]],"DDDD"))</f>
        <v>Kamis</v>
      </c>
      <c r="E255" s="14" t="s">
        <v>108</v>
      </c>
      <c r="F255" s="16">
        <v>400000</v>
      </c>
      <c r="G255" s="14" t="s">
        <v>165</v>
      </c>
    </row>
    <row r="256" spans="2:7" x14ac:dyDescent="0.35">
      <c r="B256" s="12">
        <v>248</v>
      </c>
      <c r="C256" s="15">
        <v>45974</v>
      </c>
      <c r="D256" s="14" t="str">
        <f>IF(Tabel3[[#This Row],[TANGGAL ]]="","",TEXT(Tabel3[[#This Row],[TANGGAL ]],"DDDD"))</f>
        <v>Kamis</v>
      </c>
      <c r="E256" s="14" t="s">
        <v>60</v>
      </c>
      <c r="F256" s="16">
        <v>75000</v>
      </c>
      <c r="G256" s="14" t="s">
        <v>166</v>
      </c>
    </row>
    <row r="257" spans="2:9" x14ac:dyDescent="0.35">
      <c r="B257" s="12">
        <v>249</v>
      </c>
      <c r="C257" s="15">
        <v>45974</v>
      </c>
      <c r="D257" s="14" t="str">
        <f>IF(Tabel3[[#This Row],[TANGGAL ]]="","",TEXT(Tabel3[[#This Row],[TANGGAL ]],"DDDD"))</f>
        <v>Kamis</v>
      </c>
      <c r="E257" s="14" t="s">
        <v>61</v>
      </c>
      <c r="F257" s="16">
        <v>75000</v>
      </c>
      <c r="G257" s="14" t="s">
        <v>167</v>
      </c>
    </row>
    <row r="258" spans="2:9" x14ac:dyDescent="0.35">
      <c r="B258" s="12">
        <v>250</v>
      </c>
      <c r="C258" s="15">
        <v>45974</v>
      </c>
      <c r="D258" s="14" t="str">
        <f>IF(Tabel3[[#This Row],[TANGGAL ]]="","",TEXT(Tabel3[[#This Row],[TANGGAL ]],"DDDD"))</f>
        <v>Kamis</v>
      </c>
      <c r="E258" s="14" t="s">
        <v>156</v>
      </c>
      <c r="F258" s="16">
        <v>40000</v>
      </c>
      <c r="G258" s="14" t="s">
        <v>170</v>
      </c>
      <c r="I258" s="2"/>
    </row>
    <row r="259" spans="2:9" x14ac:dyDescent="0.35">
      <c r="B259" s="12">
        <v>251</v>
      </c>
      <c r="C259" s="15">
        <v>45974</v>
      </c>
      <c r="D259" s="14" t="str">
        <f>IF(Tabel3[[#This Row],[TANGGAL ]]="","",TEXT(Tabel3[[#This Row],[TANGGAL ]],"DDDD"))</f>
        <v>Kamis</v>
      </c>
      <c r="E259" s="14" t="s">
        <v>109</v>
      </c>
      <c r="F259" s="16">
        <v>50000</v>
      </c>
      <c r="G259" s="14" t="s">
        <v>169</v>
      </c>
    </row>
    <row r="260" spans="2:9" x14ac:dyDescent="0.35">
      <c r="B260" s="12">
        <v>252</v>
      </c>
      <c r="C260" s="15">
        <v>45974</v>
      </c>
      <c r="D260" s="14" t="str">
        <f>IF(Tabel3[[#This Row],[TANGGAL ]]="","",TEXT(Tabel3[[#This Row],[TANGGAL ]],"DDDD"))</f>
        <v>Kamis</v>
      </c>
      <c r="E260" s="14" t="s">
        <v>213</v>
      </c>
      <c r="F260" s="16">
        <v>1500000</v>
      </c>
      <c r="G260" s="14" t="s">
        <v>168</v>
      </c>
    </row>
    <row r="261" spans="2:9" x14ac:dyDescent="0.35">
      <c r="B261" s="12">
        <v>253</v>
      </c>
      <c r="C261" s="15">
        <v>45975</v>
      </c>
      <c r="D261" s="14" t="str">
        <f>IF(Tabel3[[#This Row],[TANGGAL ]]="","",TEXT(Tabel3[[#This Row],[TANGGAL ]],"DDDD"))</f>
        <v>Jumat</v>
      </c>
      <c r="E261" s="14" t="s">
        <v>6</v>
      </c>
      <c r="F261" s="16">
        <v>400000</v>
      </c>
      <c r="G261" s="14" t="s">
        <v>45</v>
      </c>
    </row>
    <row r="262" spans="2:9" x14ac:dyDescent="0.35">
      <c r="B262" s="12">
        <v>254</v>
      </c>
      <c r="C262" s="15">
        <v>45975</v>
      </c>
      <c r="D262" s="14" t="str">
        <f>IF(Tabel3[[#This Row],[TANGGAL ]]="","",TEXT(Tabel3[[#This Row],[TANGGAL ]],"DDDD"))</f>
        <v>Jumat</v>
      </c>
      <c r="E262" s="14" t="s">
        <v>49</v>
      </c>
      <c r="F262" s="16">
        <v>200000</v>
      </c>
      <c r="G262" s="14" t="s">
        <v>46</v>
      </c>
    </row>
    <row r="263" spans="2:9" x14ac:dyDescent="0.35">
      <c r="B263" s="12">
        <v>255</v>
      </c>
      <c r="C263" s="15">
        <v>45975</v>
      </c>
      <c r="D263" s="14" t="str">
        <f>IF(Tabel3[[#This Row],[TANGGAL ]]="","",TEXT(Tabel3[[#This Row],[TANGGAL ]],"DDDD"))</f>
        <v>Jumat</v>
      </c>
      <c r="E263" s="14" t="s">
        <v>108</v>
      </c>
      <c r="F263" s="16">
        <v>400000</v>
      </c>
      <c r="G263" s="14" t="s">
        <v>111</v>
      </c>
    </row>
    <row r="264" spans="2:9" x14ac:dyDescent="0.35">
      <c r="B264" s="12">
        <v>256</v>
      </c>
      <c r="C264" s="15">
        <v>45975</v>
      </c>
      <c r="D264" s="14" t="str">
        <f>IF(Tabel3[[#This Row],[TANGGAL ]]="","",TEXT(Tabel3[[#This Row],[TANGGAL ]],"DDDD"))</f>
        <v>Jumat</v>
      </c>
      <c r="E264" s="14" t="s">
        <v>60</v>
      </c>
      <c r="F264" s="16">
        <v>75000</v>
      </c>
      <c r="G264" s="14" t="s">
        <v>56</v>
      </c>
    </row>
    <row r="265" spans="2:9" x14ac:dyDescent="0.35">
      <c r="B265" s="12">
        <v>257</v>
      </c>
      <c r="C265" s="15">
        <v>45975</v>
      </c>
      <c r="D265" s="14" t="str">
        <f>IF(Tabel3[[#This Row],[TANGGAL ]]="","",TEXT(Tabel3[[#This Row],[TANGGAL ]],"DDDD"))</f>
        <v>Jumat</v>
      </c>
      <c r="E265" s="14" t="s">
        <v>61</v>
      </c>
      <c r="F265" s="16">
        <v>75000</v>
      </c>
      <c r="G265" s="14" t="s">
        <v>57</v>
      </c>
    </row>
    <row r="266" spans="2:9" x14ac:dyDescent="0.35">
      <c r="B266" s="12">
        <v>258</v>
      </c>
      <c r="C266" s="15">
        <v>45975</v>
      </c>
      <c r="D266" s="14" t="str">
        <f>IF(Tabel3[[#This Row],[TANGGAL ]]="","",TEXT(Tabel3[[#This Row],[TANGGAL ]],"DDDD"))</f>
        <v>Jumat</v>
      </c>
      <c r="E266" s="14" t="s">
        <v>148</v>
      </c>
      <c r="F266" s="16">
        <v>5000</v>
      </c>
      <c r="G266" s="14" t="s">
        <v>150</v>
      </c>
    </row>
    <row r="267" spans="2:9" x14ac:dyDescent="0.35">
      <c r="B267" s="12">
        <v>259</v>
      </c>
      <c r="C267" s="15">
        <v>45975</v>
      </c>
      <c r="D267" s="14" t="str">
        <f>IF(Tabel3[[#This Row],[TANGGAL ]]="","",TEXT(Tabel3[[#This Row],[TANGGAL ]],"DDDD"))</f>
        <v>Jumat</v>
      </c>
      <c r="E267" s="14" t="s">
        <v>171</v>
      </c>
      <c r="F267" s="16">
        <v>585000</v>
      </c>
      <c r="G267" s="14" t="s">
        <v>172</v>
      </c>
    </row>
    <row r="268" spans="2:9" x14ac:dyDescent="0.35">
      <c r="B268" s="12">
        <v>260</v>
      </c>
      <c r="C268" s="15">
        <v>45976</v>
      </c>
      <c r="D268" s="14" t="str">
        <f>IF(Tabel3[[#This Row],[TANGGAL ]]="","",TEXT(Tabel3[[#This Row],[TANGGAL ]],"DDDD"))</f>
        <v>Sabtu</v>
      </c>
      <c r="E268" s="14" t="s">
        <v>6</v>
      </c>
      <c r="F268" s="16">
        <v>400000</v>
      </c>
      <c r="G268" s="14" t="s">
        <v>45</v>
      </c>
    </row>
    <row r="269" spans="2:9" x14ac:dyDescent="0.35">
      <c r="B269" s="12">
        <v>261</v>
      </c>
      <c r="C269" s="15">
        <v>45976</v>
      </c>
      <c r="D269" s="14" t="str">
        <f>IF(Tabel3[[#This Row],[TANGGAL ]]="","",TEXT(Tabel3[[#This Row],[TANGGAL ]],"DDDD"))</f>
        <v>Sabtu</v>
      </c>
      <c r="E269" s="14" t="s">
        <v>49</v>
      </c>
      <c r="F269" s="16">
        <v>200000</v>
      </c>
      <c r="G269" s="14" t="s">
        <v>46</v>
      </c>
    </row>
    <row r="270" spans="2:9" x14ac:dyDescent="0.35">
      <c r="B270" s="12">
        <v>262</v>
      </c>
      <c r="C270" s="15">
        <v>45976</v>
      </c>
      <c r="D270" s="14" t="str">
        <f>IF(Tabel3[[#This Row],[TANGGAL ]]="","",TEXT(Tabel3[[#This Row],[TANGGAL ]],"DDDD"))</f>
        <v>Sabtu</v>
      </c>
      <c r="E270" s="14" t="s">
        <v>108</v>
      </c>
      <c r="F270" s="16">
        <v>400000</v>
      </c>
      <c r="G270" s="14" t="s">
        <v>111</v>
      </c>
    </row>
    <row r="271" spans="2:9" x14ac:dyDescent="0.35">
      <c r="B271" s="12">
        <v>263</v>
      </c>
      <c r="C271" s="15">
        <v>45976</v>
      </c>
      <c r="D271" s="14" t="str">
        <f>IF(Tabel3[[#This Row],[TANGGAL ]]="","",TEXT(Tabel3[[#This Row],[TANGGAL ]],"DDDD"))</f>
        <v>Sabtu</v>
      </c>
      <c r="E271" s="14" t="s">
        <v>60</v>
      </c>
      <c r="F271" s="16">
        <v>80000</v>
      </c>
      <c r="G271" s="14" t="s">
        <v>56</v>
      </c>
    </row>
    <row r="272" spans="2:9" x14ac:dyDescent="0.35">
      <c r="B272" s="12">
        <v>264</v>
      </c>
      <c r="C272" s="15">
        <v>45976</v>
      </c>
      <c r="D272" s="14" t="str">
        <f>IF(Tabel3[[#This Row],[TANGGAL ]]="","",TEXT(Tabel3[[#This Row],[TANGGAL ]],"DDDD"))</f>
        <v>Sabtu</v>
      </c>
      <c r="E272" s="14" t="s">
        <v>61</v>
      </c>
      <c r="F272" s="16">
        <v>80000</v>
      </c>
      <c r="G272" s="14" t="s">
        <v>57</v>
      </c>
    </row>
    <row r="273" spans="2:7" x14ac:dyDescent="0.35">
      <c r="B273" s="12">
        <v>265</v>
      </c>
      <c r="C273" s="15">
        <v>45977</v>
      </c>
      <c r="D273" s="14" t="str">
        <f>IF(Tabel3[[#This Row],[TANGGAL ]]="","",TEXT(Tabel3[[#This Row],[TANGGAL ]],"DDDD"))</f>
        <v>Minggu</v>
      </c>
      <c r="E273" s="14" t="s">
        <v>6</v>
      </c>
      <c r="F273" s="16">
        <v>400000</v>
      </c>
      <c r="G273" s="14" t="s">
        <v>45</v>
      </c>
    </row>
    <row r="274" spans="2:7" x14ac:dyDescent="0.35">
      <c r="B274" s="12">
        <v>266</v>
      </c>
      <c r="C274" s="15">
        <v>45977</v>
      </c>
      <c r="D274" s="14" t="str">
        <f>IF(Tabel3[[#This Row],[TANGGAL ]]="","",TEXT(Tabel3[[#This Row],[TANGGAL ]],"DDDD"))</f>
        <v>Minggu</v>
      </c>
      <c r="E274" s="14" t="s">
        <v>49</v>
      </c>
      <c r="F274" s="16">
        <v>200000</v>
      </c>
      <c r="G274" s="14" t="s">
        <v>46</v>
      </c>
    </row>
    <row r="275" spans="2:7" x14ac:dyDescent="0.35">
      <c r="B275" s="12">
        <v>267</v>
      </c>
      <c r="C275" s="15">
        <v>45977</v>
      </c>
      <c r="D275" s="14" t="str">
        <f>IF(Tabel3[[#This Row],[TANGGAL ]]="","",TEXT(Tabel3[[#This Row],[TANGGAL ]],"DDDD"))</f>
        <v>Minggu</v>
      </c>
      <c r="E275" s="14" t="s">
        <v>108</v>
      </c>
      <c r="F275" s="16">
        <v>400000</v>
      </c>
      <c r="G275" s="14" t="s">
        <v>111</v>
      </c>
    </row>
    <row r="276" spans="2:7" x14ac:dyDescent="0.35">
      <c r="B276" s="12">
        <v>268</v>
      </c>
      <c r="C276" s="15">
        <v>45977</v>
      </c>
      <c r="D276" s="14" t="str">
        <f>IF(Tabel3[[#This Row],[TANGGAL ]]="","",TEXT(Tabel3[[#This Row],[TANGGAL ]],"DDDD"))</f>
        <v>Minggu</v>
      </c>
      <c r="E276" s="14" t="s">
        <v>60</v>
      </c>
      <c r="F276" s="16">
        <v>75000</v>
      </c>
      <c r="G276" s="14" t="s">
        <v>56</v>
      </c>
    </row>
    <row r="277" spans="2:7" x14ac:dyDescent="0.35">
      <c r="B277" s="12">
        <v>269</v>
      </c>
      <c r="C277" s="15">
        <v>45977</v>
      </c>
      <c r="D277" s="14" t="str">
        <f>IF(Tabel3[[#This Row],[TANGGAL ]]="","",TEXT(Tabel3[[#This Row],[TANGGAL ]],"DDDD"))</f>
        <v>Minggu</v>
      </c>
      <c r="E277" s="14" t="s">
        <v>61</v>
      </c>
      <c r="F277" s="16">
        <v>75000</v>
      </c>
      <c r="G277" s="14" t="s">
        <v>57</v>
      </c>
    </row>
    <row r="278" spans="2:7" x14ac:dyDescent="0.35">
      <c r="B278" s="12">
        <v>270</v>
      </c>
      <c r="C278" s="15">
        <v>45977</v>
      </c>
      <c r="D278" s="14" t="str">
        <f>IF(Tabel3[[#This Row],[TANGGAL ]]="","",TEXT(Tabel3[[#This Row],[TANGGAL ]],"DDDD"))</f>
        <v>Minggu</v>
      </c>
      <c r="E278" s="14" t="s">
        <v>173</v>
      </c>
      <c r="F278" s="16">
        <v>3000000</v>
      </c>
      <c r="G278" s="14" t="s">
        <v>76</v>
      </c>
    </row>
    <row r="279" spans="2:7" x14ac:dyDescent="0.35">
      <c r="B279" s="12">
        <v>271</v>
      </c>
      <c r="C279" s="15">
        <v>45977</v>
      </c>
      <c r="D279" s="14" t="str">
        <f>IF(Tabel3[[#This Row],[TANGGAL ]]="","",TEXT(Tabel3[[#This Row],[TANGGAL ]],"DDDD"))</f>
        <v>Minggu</v>
      </c>
      <c r="E279" s="14" t="s">
        <v>156</v>
      </c>
      <c r="F279" s="16">
        <v>500000</v>
      </c>
      <c r="G279" s="14" t="s">
        <v>174</v>
      </c>
    </row>
    <row r="280" spans="2:7" x14ac:dyDescent="0.35">
      <c r="B280" s="12">
        <v>272</v>
      </c>
      <c r="C280" s="15">
        <v>45978</v>
      </c>
      <c r="D280" s="14" t="str">
        <f>IF(Tabel3[[#This Row],[TANGGAL ]]="","",TEXT(Tabel3[[#This Row],[TANGGAL ]],"DDDD"))</f>
        <v>Senin</v>
      </c>
      <c r="E280" s="14" t="s">
        <v>6</v>
      </c>
      <c r="F280" s="16">
        <v>400000</v>
      </c>
      <c r="G280" s="14" t="s">
        <v>45</v>
      </c>
    </row>
    <row r="281" spans="2:7" x14ac:dyDescent="0.35">
      <c r="B281" s="12">
        <v>273</v>
      </c>
      <c r="C281" s="15">
        <v>45978</v>
      </c>
      <c r="D281" s="14" t="str">
        <f>IF(Tabel3[[#This Row],[TANGGAL ]]="","",TEXT(Tabel3[[#This Row],[TANGGAL ]],"DDDD"))</f>
        <v>Senin</v>
      </c>
      <c r="E281" s="14" t="s">
        <v>6</v>
      </c>
      <c r="F281" s="16">
        <v>200000</v>
      </c>
      <c r="G281" s="14" t="s">
        <v>45</v>
      </c>
    </row>
    <row r="282" spans="2:7" x14ac:dyDescent="0.35">
      <c r="B282" s="12">
        <v>274</v>
      </c>
      <c r="C282" s="15">
        <v>45978</v>
      </c>
      <c r="D282" s="14" t="str">
        <f>IF(Tabel3[[#This Row],[TANGGAL ]]="","",TEXT(Tabel3[[#This Row],[TANGGAL ]],"DDDD"))</f>
        <v>Senin</v>
      </c>
      <c r="E282" s="14" t="s">
        <v>49</v>
      </c>
      <c r="F282" s="16">
        <v>200000</v>
      </c>
      <c r="G282" s="14" t="s">
        <v>46</v>
      </c>
    </row>
    <row r="283" spans="2:7" x14ac:dyDescent="0.35">
      <c r="B283" s="12">
        <v>275</v>
      </c>
      <c r="C283" s="15">
        <v>45978</v>
      </c>
      <c r="D283" s="14" t="str">
        <f>IF(Tabel3[[#This Row],[TANGGAL ]]="","",TEXT(Tabel3[[#This Row],[TANGGAL ]],"DDDD"))</f>
        <v>Senin</v>
      </c>
      <c r="E283" s="14" t="s">
        <v>108</v>
      </c>
      <c r="F283" s="16">
        <v>400000</v>
      </c>
      <c r="G283" s="14" t="s">
        <v>111</v>
      </c>
    </row>
    <row r="284" spans="2:7" x14ac:dyDescent="0.35">
      <c r="B284" s="12">
        <v>276</v>
      </c>
      <c r="C284" s="15">
        <v>45978</v>
      </c>
      <c r="D284" s="14" t="str">
        <f>IF(Tabel3[[#This Row],[TANGGAL ]]="","",TEXT(Tabel3[[#This Row],[TANGGAL ]],"DDDD"))</f>
        <v>Senin</v>
      </c>
      <c r="E284" s="14" t="s">
        <v>60</v>
      </c>
      <c r="F284" s="16">
        <v>75000</v>
      </c>
      <c r="G284" s="14" t="s">
        <v>56</v>
      </c>
    </row>
    <row r="285" spans="2:7" x14ac:dyDescent="0.35">
      <c r="B285" s="12">
        <v>277</v>
      </c>
      <c r="C285" s="15">
        <v>45978</v>
      </c>
      <c r="D285" s="14" t="str">
        <f>IF(Tabel3[[#This Row],[TANGGAL ]]="","",TEXT(Tabel3[[#This Row],[TANGGAL ]],"DDDD"))</f>
        <v>Senin</v>
      </c>
      <c r="E285" s="14" t="s">
        <v>61</v>
      </c>
      <c r="F285" s="16">
        <v>75000</v>
      </c>
      <c r="G285" s="14" t="s">
        <v>57</v>
      </c>
    </row>
    <row r="286" spans="2:7" x14ac:dyDescent="0.35">
      <c r="B286" s="12">
        <v>278</v>
      </c>
      <c r="C286" s="15">
        <v>45978</v>
      </c>
      <c r="D286" s="14" t="str">
        <f>IF(Tabel3[[#This Row],[TANGGAL ]]="","",TEXT(Tabel3[[#This Row],[TANGGAL ]],"DDDD"))</f>
        <v>Senin</v>
      </c>
      <c r="E286" s="14" t="s">
        <v>175</v>
      </c>
      <c r="F286" s="16">
        <v>300000</v>
      </c>
      <c r="G286" s="14" t="s">
        <v>176</v>
      </c>
    </row>
    <row r="287" spans="2:7" x14ac:dyDescent="0.35">
      <c r="B287" s="12">
        <v>279</v>
      </c>
      <c r="C287" s="15">
        <v>45978</v>
      </c>
      <c r="D287" s="14" t="str">
        <f>IF(Tabel3[[#This Row],[TANGGAL ]]="","",TEXT(Tabel3[[#This Row],[TANGGAL ]],"DDDD"))</f>
        <v>Senin</v>
      </c>
      <c r="E287" s="14" t="s">
        <v>156</v>
      </c>
      <c r="F287" s="16">
        <v>50000</v>
      </c>
      <c r="G287" s="14" t="s">
        <v>177</v>
      </c>
    </row>
    <row r="288" spans="2:7" x14ac:dyDescent="0.35">
      <c r="B288" s="12">
        <v>280</v>
      </c>
      <c r="C288" s="15">
        <v>45978</v>
      </c>
      <c r="D288" s="14" t="str">
        <f>IF(Tabel3[[#This Row],[TANGGAL ]]="","",TEXT(Tabel3[[#This Row],[TANGGAL ]],"DDDD"))</f>
        <v>Senin</v>
      </c>
      <c r="E288" s="14" t="s">
        <v>115</v>
      </c>
      <c r="F288" s="16">
        <v>5000000</v>
      </c>
      <c r="G288" s="14" t="s">
        <v>76</v>
      </c>
    </row>
    <row r="289" spans="2:7" x14ac:dyDescent="0.35">
      <c r="B289" s="12">
        <v>281</v>
      </c>
      <c r="C289" s="15">
        <v>45979</v>
      </c>
      <c r="D289" s="14" t="str">
        <f>IF(Tabel3[[#This Row],[TANGGAL ]]="","",TEXT(Tabel3[[#This Row],[TANGGAL ]],"DDDD"))</f>
        <v>Selasa</v>
      </c>
      <c r="E289" s="14" t="s">
        <v>6</v>
      </c>
      <c r="F289" s="16">
        <v>200000</v>
      </c>
      <c r="G289" s="14" t="s">
        <v>45</v>
      </c>
    </row>
    <row r="290" spans="2:7" x14ac:dyDescent="0.35">
      <c r="B290" s="12">
        <v>282</v>
      </c>
      <c r="C290" s="15">
        <v>45979</v>
      </c>
      <c r="D290" s="14" t="str">
        <f>IF(Tabel3[[#This Row],[TANGGAL ]]="","",TEXT(Tabel3[[#This Row],[TANGGAL ]],"DDDD"))</f>
        <v>Selasa</v>
      </c>
      <c r="E290" s="14" t="s">
        <v>6</v>
      </c>
      <c r="F290" s="16">
        <v>200000</v>
      </c>
      <c r="G290" s="14" t="s">
        <v>45</v>
      </c>
    </row>
    <row r="291" spans="2:7" x14ac:dyDescent="0.35">
      <c r="B291" s="12">
        <v>283</v>
      </c>
      <c r="C291" s="15">
        <v>45979</v>
      </c>
      <c r="D291" s="14" t="str">
        <f>IF(Tabel3[[#This Row],[TANGGAL ]]="","",TEXT(Tabel3[[#This Row],[TANGGAL ]],"DDDD"))</f>
        <v>Selasa</v>
      </c>
      <c r="E291" s="14" t="s">
        <v>49</v>
      </c>
      <c r="F291" s="16">
        <v>200000</v>
      </c>
      <c r="G291" s="14" t="s">
        <v>46</v>
      </c>
    </row>
    <row r="292" spans="2:7" x14ac:dyDescent="0.35">
      <c r="B292" s="12">
        <v>284</v>
      </c>
      <c r="C292" s="15">
        <v>45979</v>
      </c>
      <c r="D292" s="14" t="str">
        <f>IF(Tabel3[[#This Row],[TANGGAL ]]="","",TEXT(Tabel3[[#This Row],[TANGGAL ]],"DDDD"))</f>
        <v>Selasa</v>
      </c>
      <c r="E292" s="14" t="s">
        <v>108</v>
      </c>
      <c r="F292" s="16">
        <v>400000</v>
      </c>
      <c r="G292" s="14" t="s">
        <v>111</v>
      </c>
    </row>
    <row r="293" spans="2:7" x14ac:dyDescent="0.35">
      <c r="B293" s="12">
        <v>285</v>
      </c>
      <c r="C293" s="15">
        <v>45979</v>
      </c>
      <c r="D293" s="14" t="str">
        <f>IF(Tabel3[[#This Row],[TANGGAL ]]="","",TEXT(Tabel3[[#This Row],[TANGGAL ]],"DDDD"))</f>
        <v>Selasa</v>
      </c>
      <c r="E293" s="14" t="s">
        <v>156</v>
      </c>
      <c r="F293" s="16">
        <v>1200000</v>
      </c>
      <c r="G293" s="14" t="s">
        <v>214</v>
      </c>
    </row>
    <row r="294" spans="2:7" x14ac:dyDescent="0.35">
      <c r="B294" s="12">
        <v>286</v>
      </c>
      <c r="C294" s="15">
        <v>45979</v>
      </c>
      <c r="D294" s="14" t="str">
        <f>IF(Tabel3[[#This Row],[TANGGAL ]]="","",TEXT(Tabel3[[#This Row],[TANGGAL ]],"DDDD"))</f>
        <v>Selasa</v>
      </c>
      <c r="E294" s="14" t="s">
        <v>156</v>
      </c>
      <c r="F294" s="16">
        <v>20000</v>
      </c>
      <c r="G294" s="14" t="s">
        <v>178</v>
      </c>
    </row>
    <row r="295" spans="2:7" x14ac:dyDescent="0.35">
      <c r="B295" s="12">
        <v>287</v>
      </c>
      <c r="C295" s="15">
        <v>45979</v>
      </c>
      <c r="D295" s="14" t="str">
        <f>IF(Tabel3[[#This Row],[TANGGAL ]]="","",TEXT(Tabel3[[#This Row],[TANGGAL ]],"DDDD"))</f>
        <v>Selasa</v>
      </c>
      <c r="E295" s="14" t="s">
        <v>60</v>
      </c>
      <c r="F295" s="16">
        <v>75000</v>
      </c>
      <c r="G295" s="14" t="s">
        <v>56</v>
      </c>
    </row>
    <row r="296" spans="2:7" x14ac:dyDescent="0.35">
      <c r="B296" s="12">
        <v>288</v>
      </c>
      <c r="C296" s="15">
        <v>45979</v>
      </c>
      <c r="D296" s="14" t="str">
        <f>IF(Tabel3[[#This Row],[TANGGAL ]]="","",TEXT(Tabel3[[#This Row],[TANGGAL ]],"DDDD"))</f>
        <v>Selasa</v>
      </c>
      <c r="E296" s="14" t="s">
        <v>61</v>
      </c>
      <c r="F296" s="16">
        <v>75000</v>
      </c>
      <c r="G296" s="14" t="s">
        <v>57</v>
      </c>
    </row>
    <row r="297" spans="2:7" x14ac:dyDescent="0.35">
      <c r="B297" s="12">
        <v>289</v>
      </c>
      <c r="C297" s="15">
        <v>45979</v>
      </c>
      <c r="D297" s="14" t="str">
        <f>IF(Tabel3[[#This Row],[TANGGAL ]]="","",TEXT(Tabel3[[#This Row],[TANGGAL ]],"DDDD"))</f>
        <v>Selasa</v>
      </c>
      <c r="E297" s="14" t="s">
        <v>85</v>
      </c>
      <c r="F297" s="16">
        <v>5000000</v>
      </c>
      <c r="G297" s="14" t="s">
        <v>179</v>
      </c>
    </row>
    <row r="298" spans="2:7" x14ac:dyDescent="0.35">
      <c r="B298" s="12">
        <v>290</v>
      </c>
      <c r="C298" s="15">
        <v>45979</v>
      </c>
      <c r="D298" s="14" t="str">
        <f>IF(Tabel3[[#This Row],[TANGGAL ]]="","",TEXT(Tabel3[[#This Row],[TANGGAL ]],"DDDD"))</f>
        <v>Selasa</v>
      </c>
      <c r="E298" s="14" t="s">
        <v>148</v>
      </c>
      <c r="F298" s="16">
        <v>15000</v>
      </c>
      <c r="G298" s="14" t="s">
        <v>150</v>
      </c>
    </row>
    <row r="299" spans="2:7" x14ac:dyDescent="0.35">
      <c r="B299" s="12">
        <v>291</v>
      </c>
      <c r="C299" s="56">
        <v>45979</v>
      </c>
      <c r="D299" s="57" t="str">
        <f>IF(Tabel3[[#This Row],[TANGGAL ]]="","",TEXT(Tabel3[[#This Row],[TANGGAL ]],"DDDD"))</f>
        <v>Selasa</v>
      </c>
      <c r="E299" s="58" t="s">
        <v>219</v>
      </c>
      <c r="F299" s="59">
        <v>2000000</v>
      </c>
      <c r="G299" s="58" t="s">
        <v>225</v>
      </c>
    </row>
    <row r="300" spans="2:7" x14ac:dyDescent="0.35">
      <c r="B300" s="12">
        <v>292</v>
      </c>
      <c r="C300" s="56">
        <v>45979</v>
      </c>
      <c r="D300" s="57" t="str">
        <f>IF(Tabel3[[#This Row],[TANGGAL ]]="","",TEXT(Tabel3[[#This Row],[TANGGAL ]],"DDDD"))</f>
        <v>Selasa</v>
      </c>
      <c r="E300" s="58" t="s">
        <v>219</v>
      </c>
      <c r="F300" s="59">
        <v>2000000</v>
      </c>
      <c r="G300" s="58" t="s">
        <v>226</v>
      </c>
    </row>
    <row r="301" spans="2:7" x14ac:dyDescent="0.35">
      <c r="B301" s="12">
        <v>293</v>
      </c>
      <c r="C301" s="56">
        <v>45979</v>
      </c>
      <c r="D301" s="57" t="str">
        <f>IF(Tabel3[[#This Row],[TANGGAL ]]="","",TEXT(Tabel3[[#This Row],[TANGGAL ]],"DDDD"))</f>
        <v>Selasa</v>
      </c>
      <c r="E301" s="58" t="s">
        <v>219</v>
      </c>
      <c r="F301" s="59">
        <v>2000000</v>
      </c>
      <c r="G301" s="58" t="s">
        <v>227</v>
      </c>
    </row>
    <row r="302" spans="2:7" x14ac:dyDescent="0.35">
      <c r="B302" s="12">
        <v>294</v>
      </c>
      <c r="C302" s="56">
        <v>45979</v>
      </c>
      <c r="D302" s="57" t="str">
        <f>IF(Tabel3[[#This Row],[TANGGAL ]]="","",TEXT(Tabel3[[#This Row],[TANGGAL ]],"DDDD"))</f>
        <v>Selasa</v>
      </c>
      <c r="E302" s="58" t="s">
        <v>219</v>
      </c>
      <c r="F302" s="59">
        <v>2000000</v>
      </c>
      <c r="G302" s="58" t="s">
        <v>224</v>
      </c>
    </row>
    <row r="303" spans="2:7" x14ac:dyDescent="0.35">
      <c r="B303" s="12">
        <v>295</v>
      </c>
      <c r="C303" s="56">
        <v>45979</v>
      </c>
      <c r="D303" s="57" t="str">
        <f>IF(Tabel3[[#This Row],[TANGGAL ]]="","",TEXT(Tabel3[[#This Row],[TANGGAL ]],"DDDD"))</f>
        <v>Selasa</v>
      </c>
      <c r="E303" s="58" t="s">
        <v>220</v>
      </c>
      <c r="F303" s="59">
        <v>1000000</v>
      </c>
      <c r="G303" s="58" t="s">
        <v>228</v>
      </c>
    </row>
    <row r="304" spans="2:7" x14ac:dyDescent="0.35">
      <c r="B304" s="12">
        <v>296</v>
      </c>
      <c r="C304" s="56">
        <v>45979</v>
      </c>
      <c r="D304" s="57" t="str">
        <f>IF(Tabel3[[#This Row],[TANGGAL ]]="","",TEXT(Tabel3[[#This Row],[TANGGAL ]],"DDDD"))</f>
        <v>Selasa</v>
      </c>
      <c r="E304" s="58" t="s">
        <v>220</v>
      </c>
      <c r="F304" s="59">
        <v>1200000</v>
      </c>
      <c r="G304" s="58" t="s">
        <v>229</v>
      </c>
    </row>
    <row r="305" spans="2:7" x14ac:dyDescent="0.35">
      <c r="B305" s="12">
        <v>297</v>
      </c>
      <c r="C305" s="56">
        <v>45979</v>
      </c>
      <c r="D305" s="57" t="str">
        <f>IF(Tabel3[[#This Row],[TANGGAL ]]="","",TEXT(Tabel3[[#This Row],[TANGGAL ]],"DDDD"))</f>
        <v>Selasa</v>
      </c>
      <c r="E305" s="58" t="s">
        <v>221</v>
      </c>
      <c r="F305" s="59">
        <v>1000000</v>
      </c>
      <c r="G305" s="58" t="s">
        <v>230</v>
      </c>
    </row>
    <row r="306" spans="2:7" x14ac:dyDescent="0.35">
      <c r="B306" s="12">
        <v>298</v>
      </c>
      <c r="C306" s="56">
        <v>45979</v>
      </c>
      <c r="D306" s="57" t="str">
        <f>IF(Tabel3[[#This Row],[TANGGAL ]]="","",TEXT(Tabel3[[#This Row],[TANGGAL ]],"DDDD"))</f>
        <v>Selasa</v>
      </c>
      <c r="E306" s="58" t="s">
        <v>221</v>
      </c>
      <c r="F306" s="59">
        <v>1000000</v>
      </c>
      <c r="G306" s="58" t="s">
        <v>231</v>
      </c>
    </row>
    <row r="307" spans="2:7" x14ac:dyDescent="0.35">
      <c r="B307" s="12">
        <v>299</v>
      </c>
      <c r="C307" s="56">
        <v>45979</v>
      </c>
      <c r="D307" s="57" t="str">
        <f>IF(Tabel3[[#This Row],[TANGGAL ]]="","",TEXT(Tabel3[[#This Row],[TANGGAL ]],"DDDD"))</f>
        <v>Selasa</v>
      </c>
      <c r="E307" s="58" t="s">
        <v>222</v>
      </c>
      <c r="F307" s="59">
        <v>1500000</v>
      </c>
      <c r="G307" s="58" t="s">
        <v>232</v>
      </c>
    </row>
    <row r="308" spans="2:7" x14ac:dyDescent="0.35">
      <c r="B308" s="12">
        <v>300</v>
      </c>
      <c r="C308" s="56">
        <v>45979</v>
      </c>
      <c r="D308" s="57" t="str">
        <f>IF(Tabel3[[#This Row],[TANGGAL ]]="","",TEXT(Tabel3[[#This Row],[TANGGAL ]],"DDDD"))</f>
        <v>Selasa</v>
      </c>
      <c r="E308" s="58" t="s">
        <v>223</v>
      </c>
      <c r="F308" s="59">
        <v>2500000</v>
      </c>
      <c r="G308" s="58" t="s">
        <v>233</v>
      </c>
    </row>
  </sheetData>
  <mergeCells count="4">
    <mergeCell ref="B2:D2"/>
    <mergeCell ref="B3:D4"/>
    <mergeCell ref="F2:G2"/>
    <mergeCell ref="F3:G4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2C22-6F39-4C17-B48F-937776B2D502}">
  <dimension ref="A3:D20"/>
  <sheetViews>
    <sheetView workbookViewId="0">
      <selection activeCell="D17" sqref="D17"/>
    </sheetView>
  </sheetViews>
  <sheetFormatPr defaultRowHeight="14.5" x14ac:dyDescent="0.35"/>
  <cols>
    <col min="1" max="1" width="20.6328125" bestFit="1" customWidth="1"/>
    <col min="2" max="2" width="22.54296875" bestFit="1" customWidth="1"/>
    <col min="4" max="4" width="15.90625" bestFit="1" customWidth="1"/>
  </cols>
  <sheetData>
    <row r="3" spans="1:4" x14ac:dyDescent="0.35">
      <c r="A3" s="55" t="s">
        <v>215</v>
      </c>
      <c r="B3" t="s">
        <v>217</v>
      </c>
    </row>
    <row r="4" spans="1:4" x14ac:dyDescent="0.35">
      <c r="A4" s="7" t="s">
        <v>59</v>
      </c>
      <c r="B4" s="2">
        <v>750000</v>
      </c>
    </row>
    <row r="5" spans="1:4" x14ac:dyDescent="0.35">
      <c r="A5" s="7" t="s">
        <v>49</v>
      </c>
      <c r="B5" s="2">
        <v>5700000</v>
      </c>
    </row>
    <row r="6" spans="1:4" x14ac:dyDescent="0.35">
      <c r="A6" s="7" t="s">
        <v>39</v>
      </c>
      <c r="B6" s="2">
        <v>400000</v>
      </c>
    </row>
    <row r="7" spans="1:4" x14ac:dyDescent="0.35">
      <c r="A7" s="7" t="s">
        <v>44</v>
      </c>
      <c r="B7" s="2">
        <v>450000</v>
      </c>
    </row>
    <row r="8" spans="1:4" x14ac:dyDescent="0.35">
      <c r="A8" s="7" t="s">
        <v>20</v>
      </c>
      <c r="B8" s="2">
        <v>400000</v>
      </c>
    </row>
    <row r="9" spans="1:4" x14ac:dyDescent="0.35">
      <c r="A9" s="7" t="s">
        <v>199</v>
      </c>
      <c r="B9" s="2">
        <v>100000</v>
      </c>
    </row>
    <row r="10" spans="1:4" x14ac:dyDescent="0.35">
      <c r="A10" s="7" t="s">
        <v>6</v>
      </c>
      <c r="B10" s="2">
        <v>24100000</v>
      </c>
    </row>
    <row r="11" spans="1:4" x14ac:dyDescent="0.35">
      <c r="A11" s="7" t="s">
        <v>108</v>
      </c>
      <c r="B11" s="2">
        <v>7800000</v>
      </c>
    </row>
    <row r="12" spans="1:4" x14ac:dyDescent="0.35">
      <c r="A12" s="7" t="s">
        <v>50</v>
      </c>
      <c r="B12" s="2">
        <v>350000</v>
      </c>
    </row>
    <row r="13" spans="1:4" x14ac:dyDescent="0.35">
      <c r="A13" s="7" t="s">
        <v>62</v>
      </c>
      <c r="B13" s="2">
        <v>350000</v>
      </c>
    </row>
    <row r="14" spans="1:4" x14ac:dyDescent="0.35">
      <c r="A14" s="7" t="s">
        <v>216</v>
      </c>
      <c r="B14" s="2">
        <v>40400000</v>
      </c>
    </row>
    <row r="15" spans="1:4" x14ac:dyDescent="0.35">
      <c r="A15" s="7" t="s">
        <v>234</v>
      </c>
    </row>
    <row r="16" spans="1:4" x14ac:dyDescent="0.35">
      <c r="A16" s="7" t="s">
        <v>235</v>
      </c>
      <c r="B16" s="60">
        <f>2000000*4</f>
        <v>8000000</v>
      </c>
      <c r="D16" s="61">
        <f>B16+B17+B18+B19+B20</f>
        <v>16200000</v>
      </c>
    </row>
    <row r="17" spans="1:2" x14ac:dyDescent="0.35">
      <c r="A17" s="7" t="s">
        <v>236</v>
      </c>
      <c r="B17" s="60">
        <f>1200000+1000000</f>
        <v>2200000</v>
      </c>
    </row>
    <row r="18" spans="1:2" x14ac:dyDescent="0.35">
      <c r="A18" s="7" t="s">
        <v>237</v>
      </c>
      <c r="B18" s="60">
        <v>1500000</v>
      </c>
    </row>
    <row r="19" spans="1:2" x14ac:dyDescent="0.35">
      <c r="A19" s="7" t="s">
        <v>238</v>
      </c>
      <c r="B19" s="60">
        <v>2500000</v>
      </c>
    </row>
    <row r="20" spans="1:2" x14ac:dyDescent="0.35">
      <c r="A20" s="7" t="s">
        <v>239</v>
      </c>
      <c r="B20" s="60">
        <v>2000000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9EB92-610A-4B83-A850-EFFBA82296B9}">
  <dimension ref="A3:B15"/>
  <sheetViews>
    <sheetView workbookViewId="0">
      <selection activeCell="A4" sqref="A4"/>
    </sheetView>
  </sheetViews>
  <sheetFormatPr defaultRowHeight="14.5" x14ac:dyDescent="0.35"/>
  <cols>
    <col min="1" max="1" width="35.7265625" bestFit="1" customWidth="1"/>
    <col min="2" max="2" width="22.54296875" bestFit="1" customWidth="1"/>
  </cols>
  <sheetData>
    <row r="3" spans="1:2" x14ac:dyDescent="0.35">
      <c r="A3" s="55" t="s">
        <v>215</v>
      </c>
      <c r="B3" t="s">
        <v>217</v>
      </c>
    </row>
    <row r="4" spans="1:2" x14ac:dyDescent="0.35">
      <c r="A4" s="7" t="s">
        <v>84</v>
      </c>
      <c r="B4" s="2">
        <v>442000</v>
      </c>
    </row>
    <row r="5" spans="1:2" x14ac:dyDescent="0.35">
      <c r="A5" s="7" t="s">
        <v>110</v>
      </c>
      <c r="B5" s="2">
        <v>70000</v>
      </c>
    </row>
    <row r="6" spans="1:2" x14ac:dyDescent="0.35">
      <c r="A6" s="7" t="s">
        <v>109</v>
      </c>
      <c r="B6" s="2">
        <v>602000</v>
      </c>
    </row>
    <row r="7" spans="1:2" x14ac:dyDescent="0.35">
      <c r="A7" s="7" t="s">
        <v>22</v>
      </c>
      <c r="B7" s="2">
        <v>825000</v>
      </c>
    </row>
    <row r="8" spans="1:2" x14ac:dyDescent="0.35">
      <c r="A8" s="7" t="s">
        <v>55</v>
      </c>
      <c r="B8" s="2">
        <v>100000</v>
      </c>
    </row>
    <row r="9" spans="1:2" x14ac:dyDescent="0.35">
      <c r="A9" s="7" t="s">
        <v>54</v>
      </c>
      <c r="B9" s="2">
        <v>100000</v>
      </c>
    </row>
    <row r="10" spans="1:2" x14ac:dyDescent="0.35">
      <c r="A10" s="7" t="s">
        <v>89</v>
      </c>
      <c r="B10" s="2">
        <v>400000</v>
      </c>
    </row>
    <row r="11" spans="1:2" x14ac:dyDescent="0.35">
      <c r="A11" s="7" t="s">
        <v>61</v>
      </c>
      <c r="B11" s="2">
        <v>1480000</v>
      </c>
    </row>
    <row r="12" spans="1:2" x14ac:dyDescent="0.35">
      <c r="A12" s="7" t="s">
        <v>60</v>
      </c>
      <c r="B12" s="2">
        <v>1630000</v>
      </c>
    </row>
    <row r="13" spans="1:2" x14ac:dyDescent="0.35">
      <c r="A13" s="7" t="s">
        <v>114</v>
      </c>
      <c r="B13" s="2">
        <v>1200000</v>
      </c>
    </row>
    <row r="14" spans="1:2" x14ac:dyDescent="0.35">
      <c r="A14" s="7" t="s">
        <v>128</v>
      </c>
      <c r="B14" s="2">
        <v>400000</v>
      </c>
    </row>
    <row r="15" spans="1:2" x14ac:dyDescent="0.35">
      <c r="A15" s="7" t="s">
        <v>216</v>
      </c>
      <c r="B15" s="2">
        <v>7249000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580-91D2-4A4E-9B89-7C58F233E6B8}">
  <dimension ref="A3:B14"/>
  <sheetViews>
    <sheetView workbookViewId="0">
      <selection activeCell="A3" sqref="A3"/>
    </sheetView>
  </sheetViews>
  <sheetFormatPr defaultRowHeight="14.5" x14ac:dyDescent="0.35"/>
  <cols>
    <col min="1" max="1" width="29.453125" bestFit="1" customWidth="1"/>
    <col min="2" max="2" width="22.54296875" bestFit="1" customWidth="1"/>
  </cols>
  <sheetData>
    <row r="3" spans="1:2" x14ac:dyDescent="0.35">
      <c r="A3" s="55" t="s">
        <v>215</v>
      </c>
      <c r="B3" t="s">
        <v>217</v>
      </c>
    </row>
    <row r="4" spans="1:2" x14ac:dyDescent="0.35">
      <c r="A4" s="7" t="s">
        <v>198</v>
      </c>
      <c r="B4" s="2">
        <v>50000</v>
      </c>
    </row>
    <row r="5" spans="1:2" x14ac:dyDescent="0.35">
      <c r="A5" s="7" t="s">
        <v>197</v>
      </c>
      <c r="B5" s="2">
        <v>40000</v>
      </c>
    </row>
    <row r="6" spans="1:2" x14ac:dyDescent="0.35">
      <c r="A6" s="7" t="s">
        <v>156</v>
      </c>
      <c r="B6" s="2">
        <v>4650000</v>
      </c>
    </row>
    <row r="7" spans="1:2" x14ac:dyDescent="0.35">
      <c r="A7" s="7" t="s">
        <v>175</v>
      </c>
      <c r="B7" s="2">
        <v>300000</v>
      </c>
    </row>
    <row r="8" spans="1:2" x14ac:dyDescent="0.35">
      <c r="A8" s="7" t="s">
        <v>205</v>
      </c>
      <c r="B8" s="2">
        <v>72000</v>
      </c>
    </row>
    <row r="9" spans="1:2" x14ac:dyDescent="0.35">
      <c r="A9" s="7" t="s">
        <v>194</v>
      </c>
      <c r="B9" s="2">
        <v>60000</v>
      </c>
    </row>
    <row r="10" spans="1:2" x14ac:dyDescent="0.35">
      <c r="A10" s="7" t="s">
        <v>206</v>
      </c>
      <c r="B10" s="2">
        <v>1012000</v>
      </c>
    </row>
    <row r="11" spans="1:2" x14ac:dyDescent="0.35">
      <c r="A11" s="7" t="s">
        <v>204</v>
      </c>
      <c r="B11" s="2">
        <v>1075000</v>
      </c>
    </row>
    <row r="12" spans="1:2" x14ac:dyDescent="0.35">
      <c r="A12" s="7" t="s">
        <v>196</v>
      </c>
      <c r="B12" s="2">
        <v>1925000</v>
      </c>
    </row>
    <row r="13" spans="1:2" x14ac:dyDescent="0.35">
      <c r="A13" s="7" t="s">
        <v>207</v>
      </c>
      <c r="B13" s="2">
        <v>25000</v>
      </c>
    </row>
    <row r="14" spans="1:2" x14ac:dyDescent="0.35">
      <c r="A14" s="7" t="s">
        <v>216</v>
      </c>
      <c r="B14" s="2">
        <v>9209000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C990-C831-4421-8F32-B0F03F4273BC}">
  <dimension ref="A3:B19"/>
  <sheetViews>
    <sheetView workbookViewId="0">
      <selection activeCell="B20" sqref="B20"/>
    </sheetView>
  </sheetViews>
  <sheetFormatPr defaultRowHeight="14.5" x14ac:dyDescent="0.35"/>
  <cols>
    <col min="1" max="1" width="36.453125" bestFit="1" customWidth="1"/>
    <col min="2" max="2" width="22.54296875" bestFit="1" customWidth="1"/>
  </cols>
  <sheetData>
    <row r="3" spans="1:2" x14ac:dyDescent="0.35">
      <c r="A3" s="55" t="s">
        <v>215</v>
      </c>
      <c r="B3" t="s">
        <v>217</v>
      </c>
    </row>
    <row r="4" spans="1:2" x14ac:dyDescent="0.35">
      <c r="A4" s="7" t="s">
        <v>186</v>
      </c>
      <c r="B4" s="2">
        <v>2000000</v>
      </c>
    </row>
    <row r="5" spans="1:2" x14ac:dyDescent="0.35">
      <c r="A5" s="7" t="s">
        <v>187</v>
      </c>
      <c r="B5" s="2">
        <v>3500000</v>
      </c>
    </row>
    <row r="6" spans="1:2" x14ac:dyDescent="0.35">
      <c r="A6" s="7" t="s">
        <v>185</v>
      </c>
      <c r="B6" s="2">
        <v>33000000</v>
      </c>
    </row>
    <row r="7" spans="1:2" x14ac:dyDescent="0.35">
      <c r="A7" s="7" t="s">
        <v>212</v>
      </c>
      <c r="B7" s="2">
        <v>5304000</v>
      </c>
    </row>
    <row r="8" spans="1:2" x14ac:dyDescent="0.35">
      <c r="A8" s="7" t="s">
        <v>183</v>
      </c>
      <c r="B8" s="2">
        <v>1175000</v>
      </c>
    </row>
    <row r="9" spans="1:2" x14ac:dyDescent="0.35">
      <c r="A9" s="7" t="s">
        <v>190</v>
      </c>
      <c r="B9" s="2">
        <v>50000</v>
      </c>
    </row>
    <row r="10" spans="1:2" x14ac:dyDescent="0.35">
      <c r="A10" s="7" t="s">
        <v>192</v>
      </c>
      <c r="B10" s="2">
        <v>1000000</v>
      </c>
    </row>
    <row r="11" spans="1:2" x14ac:dyDescent="0.35">
      <c r="A11" s="7" t="s">
        <v>188</v>
      </c>
      <c r="B11" s="2">
        <v>75000</v>
      </c>
    </row>
    <row r="12" spans="1:2" x14ac:dyDescent="0.35">
      <c r="A12" s="7" t="s">
        <v>189</v>
      </c>
      <c r="B12" s="2">
        <v>938000</v>
      </c>
    </row>
    <row r="13" spans="1:2" x14ac:dyDescent="0.35">
      <c r="A13" s="7" t="s">
        <v>184</v>
      </c>
      <c r="B13" s="2">
        <v>4665000</v>
      </c>
    </row>
    <row r="14" spans="1:2" x14ac:dyDescent="0.35">
      <c r="A14" s="7" t="s">
        <v>182</v>
      </c>
      <c r="B14" s="2">
        <v>1500000</v>
      </c>
    </row>
    <row r="15" spans="1:2" x14ac:dyDescent="0.35">
      <c r="A15" s="7" t="s">
        <v>180</v>
      </c>
      <c r="B15" s="2">
        <v>1100000</v>
      </c>
    </row>
    <row r="16" spans="1:2" x14ac:dyDescent="0.35">
      <c r="A16" s="7" t="s">
        <v>181</v>
      </c>
      <c r="B16" s="2">
        <v>2300000</v>
      </c>
    </row>
    <row r="17" spans="1:2" x14ac:dyDescent="0.35">
      <c r="A17" s="7" t="s">
        <v>216</v>
      </c>
      <c r="B17" s="2">
        <v>56607000</v>
      </c>
    </row>
    <row r="19" spans="1:2" x14ac:dyDescent="0.35">
      <c r="B19" s="2">
        <v>-33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CCEB9-3C4C-4BEB-91DA-3FEA9D6471FB}">
  <dimension ref="A3:B16"/>
  <sheetViews>
    <sheetView workbookViewId="0">
      <selection activeCell="A3" sqref="A3"/>
    </sheetView>
  </sheetViews>
  <sheetFormatPr defaultRowHeight="14.5" x14ac:dyDescent="0.35"/>
  <cols>
    <col min="1" max="1" width="22.90625" bestFit="1" customWidth="1"/>
    <col min="2" max="2" width="22.54296875" bestFit="1" customWidth="1"/>
  </cols>
  <sheetData>
    <row r="3" spans="1:2" x14ac:dyDescent="0.35">
      <c r="A3" s="55" t="s">
        <v>215</v>
      </c>
      <c r="B3" t="s">
        <v>217</v>
      </c>
    </row>
    <row r="4" spans="1:2" x14ac:dyDescent="0.35">
      <c r="A4" s="7" t="s">
        <v>191</v>
      </c>
      <c r="B4" s="2">
        <v>350000</v>
      </c>
    </row>
    <row r="5" spans="1:2" x14ac:dyDescent="0.35">
      <c r="A5" s="7" t="s">
        <v>218</v>
      </c>
      <c r="B5" s="2">
        <v>5000000</v>
      </c>
    </row>
    <row r="6" spans="1:2" x14ac:dyDescent="0.35">
      <c r="A6" s="7" t="s">
        <v>195</v>
      </c>
      <c r="B6" s="2">
        <v>800000</v>
      </c>
    </row>
    <row r="7" spans="1:2" x14ac:dyDescent="0.35">
      <c r="A7" s="7" t="s">
        <v>81</v>
      </c>
      <c r="B7" s="2">
        <v>10000000</v>
      </c>
    </row>
    <row r="8" spans="1:2" x14ac:dyDescent="0.35">
      <c r="A8" s="7" t="s">
        <v>77</v>
      </c>
      <c r="B8" s="2">
        <v>2385000</v>
      </c>
    </row>
    <row r="9" spans="1:2" x14ac:dyDescent="0.35">
      <c r="A9" s="7" t="s">
        <v>173</v>
      </c>
      <c r="B9" s="2">
        <v>3000000</v>
      </c>
    </row>
    <row r="10" spans="1:2" x14ac:dyDescent="0.35">
      <c r="A10" s="7" t="s">
        <v>72</v>
      </c>
      <c r="B10" s="2">
        <v>11800000</v>
      </c>
    </row>
    <row r="11" spans="1:2" x14ac:dyDescent="0.35">
      <c r="A11" s="7" t="s">
        <v>85</v>
      </c>
      <c r="B11" s="2">
        <v>10000000</v>
      </c>
    </row>
    <row r="12" spans="1:2" x14ac:dyDescent="0.35">
      <c r="A12" s="7" t="s">
        <v>115</v>
      </c>
      <c r="B12" s="2">
        <v>10000000</v>
      </c>
    </row>
    <row r="13" spans="1:2" x14ac:dyDescent="0.35">
      <c r="A13" s="7" t="s">
        <v>68</v>
      </c>
      <c r="B13" s="2">
        <v>660000</v>
      </c>
    </row>
    <row r="14" spans="1:2" x14ac:dyDescent="0.35">
      <c r="A14" s="7" t="s">
        <v>90</v>
      </c>
      <c r="B14" s="2">
        <v>8000000</v>
      </c>
    </row>
    <row r="15" spans="1:2" x14ac:dyDescent="0.35">
      <c r="A15" s="7" t="s">
        <v>185</v>
      </c>
      <c r="B15" s="2">
        <v>33000000</v>
      </c>
    </row>
    <row r="16" spans="1:2" x14ac:dyDescent="0.35">
      <c r="A16" s="7" t="s">
        <v>216</v>
      </c>
      <c r="B16" s="2">
        <v>94995000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92C18-C794-4327-94ED-BEBDAA60183E}">
  <dimension ref="A3:B5"/>
  <sheetViews>
    <sheetView workbookViewId="0">
      <selection activeCell="A3" sqref="A3"/>
    </sheetView>
  </sheetViews>
  <sheetFormatPr defaultRowHeight="14.5" x14ac:dyDescent="0.35"/>
  <cols>
    <col min="1" max="1" width="23.54296875" bestFit="1" customWidth="1"/>
    <col min="2" max="2" width="22.54296875" bestFit="1" customWidth="1"/>
  </cols>
  <sheetData>
    <row r="3" spans="1:2" x14ac:dyDescent="0.35">
      <c r="A3" s="55" t="s">
        <v>215</v>
      </c>
      <c r="B3" t="s">
        <v>217</v>
      </c>
    </row>
    <row r="4" spans="1:2" x14ac:dyDescent="0.35">
      <c r="A4" s="7" t="s">
        <v>99</v>
      </c>
      <c r="B4" s="2">
        <v>35000000</v>
      </c>
    </row>
    <row r="5" spans="1:2" x14ac:dyDescent="0.35">
      <c r="A5" s="7" t="s">
        <v>216</v>
      </c>
      <c r="B5" s="2">
        <v>35000000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C92B4-4133-42FF-8194-ABD0EE14657D}">
  <dimension ref="A3:B18"/>
  <sheetViews>
    <sheetView workbookViewId="0">
      <selection activeCell="B13" sqref="B13"/>
    </sheetView>
  </sheetViews>
  <sheetFormatPr defaultRowHeight="14.5" x14ac:dyDescent="0.35"/>
  <cols>
    <col min="1" max="1" width="26.90625" bestFit="1" customWidth="1"/>
    <col min="2" max="2" width="22.54296875" bestFit="1" customWidth="1"/>
  </cols>
  <sheetData>
    <row r="3" spans="1:2" x14ac:dyDescent="0.35">
      <c r="A3" s="55" t="s">
        <v>215</v>
      </c>
      <c r="B3" t="s">
        <v>217</v>
      </c>
    </row>
    <row r="4" spans="1:2" x14ac:dyDescent="0.35">
      <c r="A4" s="7" t="s">
        <v>148</v>
      </c>
      <c r="B4" s="2">
        <v>35000</v>
      </c>
    </row>
    <row r="5" spans="1:2" x14ac:dyDescent="0.35">
      <c r="A5" s="7" t="s">
        <v>119</v>
      </c>
      <c r="B5" s="2">
        <v>2238000</v>
      </c>
    </row>
    <row r="6" spans="1:2" x14ac:dyDescent="0.35">
      <c r="A6" s="7" t="s">
        <v>208</v>
      </c>
      <c r="B6" s="2">
        <v>1000000</v>
      </c>
    </row>
    <row r="7" spans="1:2" x14ac:dyDescent="0.35">
      <c r="A7" s="7" t="s">
        <v>203</v>
      </c>
      <c r="B7" s="2">
        <v>270000</v>
      </c>
    </row>
    <row r="8" spans="1:2" x14ac:dyDescent="0.35">
      <c r="A8" s="7" t="s">
        <v>104</v>
      </c>
      <c r="B8" s="2">
        <v>60000</v>
      </c>
    </row>
    <row r="9" spans="1:2" x14ac:dyDescent="0.35">
      <c r="A9" s="7" t="s">
        <v>211</v>
      </c>
      <c r="B9" s="2">
        <v>350000</v>
      </c>
    </row>
    <row r="10" spans="1:2" x14ac:dyDescent="0.35">
      <c r="A10" s="7" t="s">
        <v>200</v>
      </c>
      <c r="B10" s="2">
        <v>1300000</v>
      </c>
    </row>
    <row r="11" spans="1:2" x14ac:dyDescent="0.35">
      <c r="A11" s="7" t="s">
        <v>201</v>
      </c>
      <c r="B11" s="2">
        <v>100000</v>
      </c>
    </row>
    <row r="12" spans="1:2" x14ac:dyDescent="0.35">
      <c r="A12" s="7" t="s">
        <v>171</v>
      </c>
      <c r="B12" s="2">
        <v>585000</v>
      </c>
    </row>
    <row r="13" spans="1:2" x14ac:dyDescent="0.35">
      <c r="A13" s="7" t="s">
        <v>213</v>
      </c>
      <c r="B13" s="2">
        <v>1500000</v>
      </c>
    </row>
    <row r="14" spans="1:2" x14ac:dyDescent="0.35">
      <c r="A14" s="7" t="s">
        <v>193</v>
      </c>
      <c r="B14" s="2">
        <v>300000</v>
      </c>
    </row>
    <row r="15" spans="1:2" x14ac:dyDescent="0.35">
      <c r="A15" s="7" t="s">
        <v>209</v>
      </c>
      <c r="B15" s="2">
        <v>25000000</v>
      </c>
    </row>
    <row r="16" spans="1:2" x14ac:dyDescent="0.35">
      <c r="A16" s="7" t="s">
        <v>122</v>
      </c>
      <c r="B16" s="2">
        <v>12950000</v>
      </c>
    </row>
    <row r="17" spans="1:2" x14ac:dyDescent="0.35">
      <c r="A17" s="7" t="s">
        <v>210</v>
      </c>
      <c r="B17" s="2">
        <v>30000000</v>
      </c>
    </row>
    <row r="18" spans="1:2" x14ac:dyDescent="0.35">
      <c r="A18" s="7" t="s">
        <v>216</v>
      </c>
      <c r="B18" s="2">
        <v>75688000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F3E464-EA02-4966-95E7-0D13B82785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10</vt:i4>
      </vt:variant>
    </vt:vector>
  </HeadingPairs>
  <TitlesOfParts>
    <vt:vector size="10" baseType="lpstr">
      <vt:lpstr>PENDAPATAN</vt:lpstr>
      <vt:lpstr>COLTDIESEL</vt:lpstr>
      <vt:lpstr>PENGELUARAN</vt:lpstr>
      <vt:lpstr>UH</vt:lpstr>
      <vt:lpstr>MAMIN</vt:lpstr>
      <vt:lpstr>BELANJA</vt:lpstr>
      <vt:lpstr>PINJAMAN</vt:lpstr>
      <vt:lpstr>BBM</vt:lpstr>
      <vt:lpstr>DEPOSIT</vt:lpstr>
      <vt:lpstr>Lembar12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irzha gusti</dc:creator>
  <cp:lastModifiedBy>irzha gusti</cp:lastModifiedBy>
  <cp:lastPrinted>2025-11-22T06:10:27Z</cp:lastPrinted>
  <dcterms:created xsi:type="dcterms:W3CDTF">2025-10-15T12:17:12Z</dcterms:created>
  <dcterms:modified xsi:type="dcterms:W3CDTF">2025-11-22T14:47:32Z</dcterms:modified>
</cp:coreProperties>
</file>